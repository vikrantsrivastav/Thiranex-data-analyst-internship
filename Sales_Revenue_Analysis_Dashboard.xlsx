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<sst xmlns="http://schemas.openxmlformats.org/spreadsheetml/2006/main" count="1746" uniqueCount="64">
  <si>
    <t xml:space="preserve">Sales &amp; Revenue Analysis Dashboard</t>
  </si>
  <si>
    <t xml:space="preserve">Interactive KPI overview, revenue trends, and top-performing products (FY2024)</t>
  </si>
  <si>
    <t xml:space="preserve">Region Filter:</t>
  </si>
  <si>
    <t xml:space="preserve">All</t>
  </si>
  <si>
    <t xml:space="preserve">(Change the dropdown to filter Total Revenue, Units, Orders &amp; AOV below)</t>
  </si>
  <si>
    <t xml:space="preserve">Total Revenue</t>
  </si>
  <si>
    <t xml:space="preserve">Total Units Sold</t>
  </si>
  <si>
    <t xml:space="preserve">Total Orders</t>
  </si>
  <si>
    <t xml:space="preserve">Avg Order Value</t>
  </si>
  <si>
    <t xml:space="preserve">Top-Performing Product:</t>
  </si>
  <si>
    <t xml:space="preserve">Its Revenue:</t>
  </si>
  <si>
    <t xml:space="preserve">Order ID</t>
  </si>
  <si>
    <t xml:space="preserve">Date</t>
  </si>
  <si>
    <t xml:space="preserve">Region</t>
  </si>
  <si>
    <t xml:space="preserve">Category</t>
  </si>
  <si>
    <t xml:space="preserve">Product</t>
  </si>
  <si>
    <t xml:space="preserve">Sales Rep</t>
  </si>
  <si>
    <t xml:space="preserve">Units Sold</t>
  </si>
  <si>
    <t xml:space="preserve">Unit Price</t>
  </si>
  <si>
    <t xml:space="preserve">Revenue</t>
  </si>
  <si>
    <t xml:space="preserve">East</t>
  </si>
  <si>
    <t xml:space="preserve">Sports</t>
  </si>
  <si>
    <t xml:space="preserve">Yoga Mat</t>
  </si>
  <si>
    <t xml:space="preserve">B. Patel</t>
  </si>
  <si>
    <t xml:space="preserve">South</t>
  </si>
  <si>
    <t xml:space="preserve">Apparel</t>
  </si>
  <si>
    <t xml:space="preserve">Cotton T-Shirt</t>
  </si>
  <si>
    <t xml:space="preserve">F. Meyer</t>
  </si>
  <si>
    <t xml:space="preserve">Books</t>
  </si>
  <si>
    <t xml:space="preserve">Bestseller Novel</t>
  </si>
  <si>
    <t xml:space="preserve">E. Rossi</t>
  </si>
  <si>
    <t xml:space="preserve">North</t>
  </si>
  <si>
    <t xml:space="preserve">Electronics</t>
  </si>
  <si>
    <t xml:space="preserve">Bluetooth Speaker</t>
  </si>
  <si>
    <t xml:space="preserve">West</t>
  </si>
  <si>
    <t xml:space="preserve">Home &amp; Kitchen</t>
  </si>
  <si>
    <t xml:space="preserve">Coffee Maker</t>
  </si>
  <si>
    <t xml:space="preserve">C. Nguyen</t>
  </si>
  <si>
    <t xml:space="preserve">Denim Jacket</t>
  </si>
  <si>
    <t xml:space="preserve">D. Cohen</t>
  </si>
  <si>
    <t xml:space="preserve">Dumbbell Set</t>
  </si>
  <si>
    <t xml:space="preserve">Blender</t>
  </si>
  <si>
    <t xml:space="preserve">Wireless Earbuds</t>
  </si>
  <si>
    <t xml:space="preserve">A. Sharma</t>
  </si>
  <si>
    <t xml:space="preserve">Running Shoes</t>
  </si>
  <si>
    <t xml:space="preserve">Air Fryer</t>
  </si>
  <si>
    <t xml:space="preserve">Smart Watch</t>
  </si>
  <si>
    <t xml:space="preserve">Monthly Revenue Trend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</si>
  <si>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</si>
  <si>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</si>
  <si>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</si>
  <si>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</si>
  <si>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</si>
  <si>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</si>
  <si>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</si>
  <si>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</si>
  <si>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</si>
  <si>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</si>
  <si>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</si>
  <si>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</si>
  <si>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</si>
  <si>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Product Performance</t>
  </si>
  <si>
    <t xml:space="preserve">Region Performance</t>
  </si>
  <si>
    <t xml:space="preserve">Category Performance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</si>
</sst>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\$#,##0.00"/>
    <numFmt numFmtId="168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C0504D"/>
      </patternFill>
    </fill>
    <fill>
      <patternFill patternType="solid">
        <fgColor rgb="FF5B2C8D"/>
        <bgColor rgb="FF660066"/>
      </patternFill>
    </fill>
    <fill>
      <patternFill patternType="solid">
        <fgColor rgb="FF1F3864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BE4B48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C55A11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5B2C8D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248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Summary!$B$3:$B$14</c:f>
              <c:numCache>
                <c:formatCode>\$#,##0</c:formatCode>
                <c:ptCount val="12"/>
                <c:pt idx="0">
                  <c:v>7453.41</c:v>
                </c:pt>
                <c:pt idx="1">
                  <c:v>18247.16</c:v>
                </c:pt>
                <c:pt idx="2">
                  <c:v>12432.72</c:v>
                </c:pt>
                <c:pt idx="3">
                  <c:v>11158.23</c:v>
                </c:pt>
                <c:pt idx="4">
                  <c:v>15927.08</c:v>
                </c:pt>
                <c:pt idx="5">
                  <c:v>18037.35</c:v>
                </c:pt>
                <c:pt idx="6">
                  <c:v>9247.92</c:v>
                </c:pt>
                <c:pt idx="7">
                  <c:v>15052.62</c:v>
                </c:pt>
                <c:pt idx="8">
                  <c:v>9563.19</c:v>
                </c:pt>
                <c:pt idx="9">
                  <c:v>13342.78</c:v>
                </c:pt>
                <c:pt idx="10">
                  <c:v>17456.91</c:v>
                </c:pt>
                <c:pt idx="11">
                  <c:v>26800.71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961409"/>
        <c:axId val="9477570"/>
      </c:lineChart>
      <c:catAx>
        <c:axId val="559614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7570"/>
        <c:crosses val="autoZero"/>
        <c:auto val="1"/>
        <c:lblAlgn val="ctr"/>
        <c:lblOffset val="100"/>
        <c:noMultiLvlLbl val="0"/>
      </c:catAx>
      <c:valAx>
        <c:axId val="94775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614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Summary!$A$18:$A$29</c:f>
              <c:strCache>
                <c:ptCount val="12"/>
                <c:pt idx="0">
                  <c:v>Air Fryer</c:v>
                </c:pt>
                <c:pt idx="1">
                  <c:v>Bestseller Novel</c:v>
                </c:pt>
                <c:pt idx="2">
                  <c:v>Blender</c:v>
                </c:pt>
                <c:pt idx="3">
                  <c:v>Bluetooth Speaker</c:v>
                </c:pt>
                <c:pt idx="4">
                  <c:v>Coffee Maker</c:v>
                </c:pt>
                <c:pt idx="5">
                  <c:v>Cotton T-Shirt</c:v>
                </c:pt>
                <c:pt idx="6">
                  <c:v>Denim Jacket</c:v>
                </c:pt>
                <c:pt idx="7">
                  <c:v>Dumbbell Set</c:v>
                </c:pt>
                <c:pt idx="8">
                  <c:v>Running Shoes</c:v>
                </c:pt>
                <c:pt idx="9">
                  <c:v>Smart Watch</c:v>
                </c:pt>
                <c:pt idx="10">
                  <c:v>Wireless Earbuds</c:v>
                </c:pt>
                <c:pt idx="11">
                  <c:v>Yoga Mat</c:v>
                </c:pt>
              </c:strCache>
            </c:strRef>
          </c:cat>
          <c:val>
            <c:numRef>
              <c:f>Summary!$B$18:$B$29</c:f>
              <c:numCache>
                <c:formatCode>\$#,##0</c:formatCode>
                <c:ptCount val="12"/>
                <c:pt idx="0">
                  <c:v>29336.74</c:v>
                </c:pt>
                <c:pt idx="1">
                  <c:v>2968.02</c:v>
                </c:pt>
                <c:pt idx="2">
                  <c:v>12867.14</c:v>
                </c:pt>
                <c:pt idx="3">
                  <c:v>12076.98</c:v>
                </c:pt>
                <c:pt idx="4">
                  <c:v>14077.44</c:v>
                </c:pt>
                <c:pt idx="5">
                  <c:v>3378.31</c:v>
                </c:pt>
                <c:pt idx="6">
                  <c:v>13497.75</c:v>
                </c:pt>
                <c:pt idx="7">
                  <c:v>23446.65</c:v>
                </c:pt>
                <c:pt idx="8">
                  <c:v>15522.93</c:v>
                </c:pt>
                <c:pt idx="9">
                  <c:v>30677.64</c:v>
                </c:pt>
                <c:pt idx="10">
                  <c:v>11147.77</c:v>
                </c:pt>
                <c:pt idx="11">
                  <c:v>5722.71</c:v>
                </c:pt>
              </c:numCache>
            </c:numRef>
          </c:val>
        </c:ser>
        <c:gapWidth val="150"/>
        <c:overlap val="0"/>
        <c:axId val="93947105"/>
        <c:axId val="31513249"/>
      </c:barChart>
      <c:catAx>
        <c:axId val="939471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13249"/>
        <c:crosses val="autoZero"/>
        <c:auto val="1"/>
        <c:lblAlgn val="ctr"/>
        <c:lblOffset val="100"/>
        <c:noMultiLvlLbl val="0"/>
      </c:catAx>
      <c:valAx>
        <c:axId val="315132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471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Summary!B32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Summary!$A$33:$A$36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Summary!$B$33:$B$36</c:f>
              <c:numCache>
                <c:formatCode>\$#,##0</c:formatCode>
                <c:ptCount val="4"/>
                <c:pt idx="0">
                  <c:v>41132.85</c:v>
                </c:pt>
                <c:pt idx="1">
                  <c:v>43788.08</c:v>
                </c:pt>
                <c:pt idx="2">
                  <c:v>43297.53</c:v>
                </c:pt>
                <c:pt idx="3">
                  <c:v>46501.62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Summary!B39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Summary!$A$40:$A$44</c:f>
              <c:strCache>
                <c:ptCount val="5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Summary!$B$40:$B$44</c:f>
              <c:numCache>
                <c:formatCode>\$#,##0</c:formatCode>
                <c:ptCount val="5"/>
                <c:pt idx="0">
                  <c:v>32398.99</c:v>
                </c:pt>
                <c:pt idx="1">
                  <c:v>2968.02</c:v>
                </c:pt>
                <c:pt idx="2">
                  <c:v>53902.39</c:v>
                </c:pt>
                <c:pt idx="3">
                  <c:v>56281.32</c:v>
                </c:pt>
                <c:pt idx="4">
                  <c:v>29169.36</c:v>
                </c:pt>
              </c:numCache>
            </c:numRef>
          </c:val>
        </c:ser>
        <c:gapWidth val="150"/>
        <c:overlap val="0"/>
        <c:axId val="50706842"/>
        <c:axId val="17013522"/>
      </c:barChart>
      <c:catAx>
        <c:axId val="5070684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13522"/>
        <c:crosses val="autoZero"/>
        <c:auto val="1"/>
        <c:lblAlgn val="ctr"/>
        <c:lblOffset val="100"/>
        <c:noMultiLvlLbl val="0"/>
      </c:catAx>
      <c:valAx>
        <c:axId val="17013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068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40680</xdr:rowOff>
    </xdr:from>
    <xdr:to>
      <xdr:col>7</xdr:col>
      <xdr:colOff>332280</xdr:colOff>
      <xdr:row>26</xdr:row>
      <xdr:rowOff>62640</xdr:rowOff>
    </xdr:to>
    <xdr:graphicFrame>
      <xdr:nvGraphicFramePr>
        <xdr:cNvPr id="0" name="Chart 1"/>
        <xdr:cNvGraphicFramePr/>
      </xdr:nvGraphicFramePr>
      <xdr:xfrm>
        <a:off x="0" y="25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11</xdr:row>
      <xdr:rowOff>40680</xdr:rowOff>
    </xdr:from>
    <xdr:to>
      <xdr:col>13</xdr:col>
      <xdr:colOff>332280</xdr:colOff>
      <xdr:row>26</xdr:row>
      <xdr:rowOff>62640</xdr:rowOff>
    </xdr:to>
    <xdr:graphicFrame>
      <xdr:nvGraphicFramePr>
        <xdr:cNvPr id="1" name="Chart 2"/>
        <xdr:cNvGraphicFramePr/>
      </xdr:nvGraphicFramePr>
      <xdr:xfrm>
        <a:off x="4651920" y="25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40680</xdr:rowOff>
    </xdr:from>
    <xdr:to>
      <xdr:col>4</xdr:col>
      <xdr:colOff>498240</xdr:colOff>
      <xdr:row>43</xdr:row>
      <xdr:rowOff>62640</xdr:rowOff>
    </xdr:to>
    <xdr:graphicFrame>
      <xdr:nvGraphicFramePr>
        <xdr:cNvPr id="2" name="Chart 3"/>
        <xdr:cNvGraphicFramePr/>
      </xdr:nvGraphicFramePr>
      <xdr:xfrm>
        <a:off x="0" y="58006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28</xdr:row>
      <xdr:rowOff>40680</xdr:rowOff>
    </xdr:from>
    <xdr:to>
      <xdr:col>12</xdr:col>
      <xdr:colOff>387360</xdr:colOff>
      <xdr:row>43</xdr:row>
      <xdr:rowOff>62640</xdr:rowOff>
    </xdr:to>
    <xdr:graphicFrame>
      <xdr:nvGraphicFramePr>
        <xdr:cNvPr id="3" name="Chart 4"/>
        <xdr:cNvGraphicFramePr/>
      </xdr:nvGraphicFramePr>
      <xdr:xfrm>
        <a:off x="4651920" y="5800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I421" headerRowCount="1" totalsRowCount="0" totalsRowShown="0">
  <autoFilter ref="A1:I421"/>
  <tableColumns count="9">
    <tableColumn id="1" name="Order ID"/>
    <tableColumn id="2" name="Date"/>
    <tableColumn id="3" name="Region"/>
    <tableColumn id="4" name="Category"/>
    <tableColumn id="5" name="Product"/>
    <tableColumn id="6" name="Sales Rep"/>
    <tableColumn id="7" name="Units Sold"/>
    <tableColumn id="8" name="Unit Price"/>
    <tableColumn id="9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1"/>
  </cols>
  <sheetData>
    <row r="1" customFormat="false" ht="26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B4" s="4" t="s">
        <v>3</v>
      </c>
      <c r="D4" s="5" t="s">
        <v>4</v>
      </c>
    </row>
    <row r="6" customFormat="false" ht="21.75" hidden="false" customHeight="true" outlineLevel="0" collapsed="false">
      <c r="A6" s="6" t="s">
        <v>5</v>
      </c>
      <c r="B6" s="6"/>
      <c r="C6" s="6"/>
      <c r="E6" s="7" t="s">
        <v>6</v>
      </c>
      <c r="F6" s="7"/>
      <c r="G6" s="7"/>
      <c r="I6" s="8" t="s">
        <v>7</v>
      </c>
      <c r="J6" s="8"/>
      <c r="K6" s="8"/>
      <c r="M6" s="9" t="s">
        <v>8</v>
      </c>
      <c r="N6" s="9"/>
      <c r="O6" s="9"/>
    </row>
    <row r="7" customFormat="false" ht="30" hidden="false" customHeight="true" outlineLevel="0" collapsed="false">
      <c r="A7" s="10" t="n">
        <f aca="false">IF($B$4="All",SUM('Raw Data'!$I$2:$I$421),SUMIFS('Raw Data'!$I$2:$I$421,'Raw Data'!$C$2:$C$421,$B$4))</f>
        <v>174720.08</v>
      </c>
      <c r="B7" s="10"/>
      <c r="C7" s="10"/>
      <c r="E7" s="11" t="n">
        <f aca="false">IF($B$4="All",SUM('Raw Data'!$G$2:$G$421),SUMIFS('Raw Data'!$G$2:$G$421,'Raw Data'!$C$2:$C$421,$B$4))</f>
        <v>2992</v>
      </c>
      <c r="F7" s="11"/>
      <c r="G7" s="11"/>
      <c r="I7" s="12" t="n">
        <f aca="false">IF($B$4="All",COUNTA('Raw Data'!$A$2:$A$421),COUNTIFS('Raw Data'!$C$2:$C$421,$B$4))</f>
        <v>420</v>
      </c>
      <c r="J7" s="12"/>
      <c r="K7" s="12"/>
      <c r="M7" s="13" t="n">
        <f aca="false">IF(I7=0,0,A7/I7)</f>
        <v>416.00019047619</v>
      </c>
      <c r="N7" s="13"/>
      <c r="O7" s="13"/>
    </row>
    <row r="10" customFormat="false" ht="15" hidden="false" customHeight="false" outlineLevel="0" collapsed="false">
      <c r="A10" s="3" t="s">
        <v>9</v>
      </c>
      <c r="C10" s="14" t="str">
        <f aca="false">INDEX(Summary!$A$18:$A$29,MATCH(MAX(Summary!$B$18:$B$29),Summary!$B$18:$B$29,0))</f>
        <v>Smart Watch</v>
      </c>
      <c r="D10" s="14"/>
      <c r="E10" s="14"/>
      <c r="F10" s="14"/>
      <c r="H10" s="3" t="s">
        <v>10</v>
      </c>
      <c r="I10" s="15" t="n">
        <f aca="false">MAX(Summary!$B$18:$B$29)</f>
        <v>30677.64</v>
      </c>
    </row>
  </sheetData>
  <mergeCells count="11">
    <mergeCell ref="A1:M1"/>
    <mergeCell ref="A2:M2"/>
    <mergeCell ref="A6:C6"/>
    <mergeCell ref="E6:G6"/>
    <mergeCell ref="I6:K6"/>
    <mergeCell ref="M6:O6"/>
    <mergeCell ref="A7:C7"/>
    <mergeCell ref="E7:G7"/>
    <mergeCell ref="I7:K7"/>
    <mergeCell ref="M7:O7"/>
    <mergeCell ref="C10:F10"/>
  </mergeCells>
  <dataValidations count="1">
    <dataValidation allowBlank="false" error="Choose a region from the list" errorStyle="stop" operator="between" prompt="Select a region to filter the KPI cards below" showDropDown="false" showErrorMessage="false" showInputMessage="false" sqref="B4" type="list">
      <formula1>"All,North,South,East,West"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6" t="s">
        <v>11</v>
      </c>
      <c r="B1" s="16" t="s">
        <v>12</v>
      </c>
      <c r="C1" s="16" t="s">
        <v>13</v>
      </c>
      <c r="D1" s="16" t="s">
        <v>14</v>
      </c>
      <c r="E1" s="16" t="s">
        <v>15</v>
      </c>
      <c r="F1" s="16" t="s">
        <v>16</v>
      </c>
      <c r="G1" s="16" t="s">
        <v>17</v>
      </c>
      <c r="H1" s="16" t="s">
        <v>18</v>
      </c>
      <c r="I1" s="16" t="s">
        <v>19</v>
      </c>
    </row>
    <row r="2" customFormat="false" ht="15" hidden="false" customHeight="false" outlineLevel="0" collapsed="false">
      <c r="A2" s="17" t="n">
        <v>1001</v>
      </c>
      <c r="B2" s="18" t="n">
        <v>45292</v>
      </c>
      <c r="C2" s="17" t="s">
        <v>20</v>
      </c>
      <c r="D2" s="17" t="s">
        <v>21</v>
      </c>
      <c r="E2" s="17" t="s">
        <v>22</v>
      </c>
      <c r="F2" s="17" t="s">
        <v>23</v>
      </c>
      <c r="G2" s="17" t="n">
        <v>10</v>
      </c>
      <c r="H2" s="19" t="n">
        <v>24.99</v>
      </c>
      <c r="I2" s="19" t="n">
        <f aca="false">G2*H2</f>
        <v>249.9</v>
      </c>
    </row>
    <row r="3" customFormat="false" ht="15" hidden="false" customHeight="false" outlineLevel="0" collapsed="false">
      <c r="A3" s="17" t="n">
        <v>1002</v>
      </c>
      <c r="B3" s="18" t="n">
        <v>45293</v>
      </c>
      <c r="C3" s="17" t="s">
        <v>24</v>
      </c>
      <c r="D3" s="17" t="s">
        <v>25</v>
      </c>
      <c r="E3" s="17" t="s">
        <v>26</v>
      </c>
      <c r="F3" s="17" t="s">
        <v>27</v>
      </c>
      <c r="G3" s="17" t="n">
        <v>5</v>
      </c>
      <c r="H3" s="19" t="n">
        <v>19.99</v>
      </c>
      <c r="I3" s="19" t="n">
        <f aca="false">G3*H3</f>
        <v>99.95</v>
      </c>
    </row>
    <row r="4" customFormat="false" ht="15" hidden="false" customHeight="false" outlineLevel="0" collapsed="false">
      <c r="A4" s="17" t="n">
        <v>1003</v>
      </c>
      <c r="B4" s="18" t="n">
        <v>45293</v>
      </c>
      <c r="C4" s="17" t="s">
        <v>20</v>
      </c>
      <c r="D4" s="17" t="s">
        <v>28</v>
      </c>
      <c r="E4" s="17" t="s">
        <v>29</v>
      </c>
      <c r="F4" s="17" t="s">
        <v>30</v>
      </c>
      <c r="G4" s="17" t="n">
        <v>3</v>
      </c>
      <c r="H4" s="19" t="n">
        <v>14.99</v>
      </c>
      <c r="I4" s="19" t="n">
        <f aca="false">G4*H4</f>
        <v>44.97</v>
      </c>
    </row>
    <row r="5" customFormat="false" ht="15" hidden="false" customHeight="false" outlineLevel="0" collapsed="false">
      <c r="A5" s="17" t="n">
        <v>1004</v>
      </c>
      <c r="B5" s="18" t="n">
        <v>45295</v>
      </c>
      <c r="C5" s="17" t="s">
        <v>31</v>
      </c>
      <c r="D5" s="17" t="s">
        <v>32</v>
      </c>
      <c r="E5" s="17" t="s">
        <v>33</v>
      </c>
      <c r="F5" s="17" t="s">
        <v>23</v>
      </c>
      <c r="G5" s="17" t="n">
        <v>2</v>
      </c>
      <c r="H5" s="19" t="n">
        <v>39.99</v>
      </c>
      <c r="I5" s="19" t="n">
        <f aca="false">G5*H5</f>
        <v>79.98</v>
      </c>
    </row>
    <row r="6" customFormat="false" ht="15" hidden="false" customHeight="false" outlineLevel="0" collapsed="false">
      <c r="A6" s="17" t="n">
        <v>1005</v>
      </c>
      <c r="B6" s="18" t="n">
        <v>45295</v>
      </c>
      <c r="C6" s="17" t="s">
        <v>34</v>
      </c>
      <c r="D6" s="17" t="s">
        <v>35</v>
      </c>
      <c r="E6" s="17" t="s">
        <v>36</v>
      </c>
      <c r="F6" s="17" t="s">
        <v>23</v>
      </c>
      <c r="G6" s="17" t="n">
        <v>3</v>
      </c>
      <c r="H6" s="19" t="n">
        <v>54.99</v>
      </c>
      <c r="I6" s="19" t="n">
        <f aca="false">G6*H6</f>
        <v>164.97</v>
      </c>
    </row>
    <row r="7" customFormat="false" ht="15" hidden="false" customHeight="false" outlineLevel="0" collapsed="false">
      <c r="A7" s="17" t="n">
        <v>1006</v>
      </c>
      <c r="B7" s="18" t="n">
        <v>45299</v>
      </c>
      <c r="C7" s="17" t="s">
        <v>24</v>
      </c>
      <c r="D7" s="17" t="s">
        <v>32</v>
      </c>
      <c r="E7" s="17" t="s">
        <v>33</v>
      </c>
      <c r="F7" s="17" t="s">
        <v>23</v>
      </c>
      <c r="G7" s="17" t="n">
        <v>7</v>
      </c>
      <c r="H7" s="19" t="n">
        <v>39.99</v>
      </c>
      <c r="I7" s="19" t="n">
        <f aca="false">G7*H7</f>
        <v>279.93</v>
      </c>
    </row>
    <row r="8" customFormat="false" ht="15" hidden="false" customHeight="false" outlineLevel="0" collapsed="false">
      <c r="A8" s="17" t="n">
        <v>1007</v>
      </c>
      <c r="B8" s="18" t="n">
        <v>45299</v>
      </c>
      <c r="C8" s="17" t="s">
        <v>24</v>
      </c>
      <c r="D8" s="17" t="s">
        <v>28</v>
      </c>
      <c r="E8" s="17" t="s">
        <v>29</v>
      </c>
      <c r="F8" s="17" t="s">
        <v>37</v>
      </c>
      <c r="G8" s="17" t="n">
        <v>1</v>
      </c>
      <c r="H8" s="19" t="n">
        <v>14.99</v>
      </c>
      <c r="I8" s="19" t="n">
        <f aca="false">G8*H8</f>
        <v>14.99</v>
      </c>
    </row>
    <row r="9" customFormat="false" ht="15" hidden="false" customHeight="false" outlineLevel="0" collapsed="false">
      <c r="A9" s="17" t="n">
        <v>1008</v>
      </c>
      <c r="B9" s="18" t="n">
        <v>45300</v>
      </c>
      <c r="C9" s="17" t="s">
        <v>31</v>
      </c>
      <c r="D9" s="17" t="s">
        <v>25</v>
      </c>
      <c r="E9" s="17" t="s">
        <v>26</v>
      </c>
      <c r="F9" s="17" t="s">
        <v>37</v>
      </c>
      <c r="G9" s="17" t="n">
        <v>4</v>
      </c>
      <c r="H9" s="19" t="n">
        <v>19.99</v>
      </c>
      <c r="I9" s="19" t="n">
        <f aca="false">G9*H9</f>
        <v>79.96</v>
      </c>
    </row>
    <row r="10" customFormat="false" ht="15" hidden="false" customHeight="false" outlineLevel="0" collapsed="false">
      <c r="A10" s="17" t="n">
        <v>1009</v>
      </c>
      <c r="B10" s="18" t="n">
        <v>45301</v>
      </c>
      <c r="C10" s="17" t="s">
        <v>24</v>
      </c>
      <c r="D10" s="17" t="s">
        <v>25</v>
      </c>
      <c r="E10" s="17" t="s">
        <v>38</v>
      </c>
      <c r="F10" s="17" t="s">
        <v>23</v>
      </c>
      <c r="G10" s="17" t="n">
        <v>9</v>
      </c>
      <c r="H10" s="19" t="n">
        <v>59.99</v>
      </c>
      <c r="I10" s="19" t="n">
        <f aca="false">G10*H10</f>
        <v>539.91</v>
      </c>
    </row>
    <row r="11" customFormat="false" ht="15" hidden="false" customHeight="false" outlineLevel="0" collapsed="false">
      <c r="A11" s="17" t="n">
        <v>1010</v>
      </c>
      <c r="B11" s="18" t="n">
        <v>45302</v>
      </c>
      <c r="C11" s="17" t="s">
        <v>34</v>
      </c>
      <c r="D11" s="17" t="s">
        <v>21</v>
      </c>
      <c r="E11" s="17" t="s">
        <v>22</v>
      </c>
      <c r="F11" s="17" t="s">
        <v>39</v>
      </c>
      <c r="G11" s="17" t="n">
        <v>1</v>
      </c>
      <c r="H11" s="19" t="n">
        <v>24.99</v>
      </c>
      <c r="I11" s="19" t="n">
        <f aca="false">G11*H11</f>
        <v>24.99</v>
      </c>
    </row>
    <row r="12" customFormat="false" ht="15" hidden="false" customHeight="false" outlineLevel="0" collapsed="false">
      <c r="A12" s="17" t="n">
        <v>1011</v>
      </c>
      <c r="B12" s="18" t="n">
        <v>45303</v>
      </c>
      <c r="C12" s="17" t="s">
        <v>34</v>
      </c>
      <c r="D12" s="17" t="s">
        <v>21</v>
      </c>
      <c r="E12" s="17" t="s">
        <v>40</v>
      </c>
      <c r="F12" s="17" t="s">
        <v>37</v>
      </c>
      <c r="G12" s="17" t="n">
        <v>1</v>
      </c>
      <c r="H12" s="19" t="n">
        <v>69.99</v>
      </c>
      <c r="I12" s="19" t="n">
        <f aca="false">G12*H12</f>
        <v>69.99</v>
      </c>
    </row>
    <row r="13" customFormat="false" ht="15" hidden="false" customHeight="false" outlineLevel="0" collapsed="false">
      <c r="A13" s="17" t="n">
        <v>1012</v>
      </c>
      <c r="B13" s="18" t="n">
        <v>45305</v>
      </c>
      <c r="C13" s="17" t="s">
        <v>24</v>
      </c>
      <c r="D13" s="17" t="s">
        <v>32</v>
      </c>
      <c r="E13" s="17" t="s">
        <v>33</v>
      </c>
      <c r="F13" s="17" t="s">
        <v>27</v>
      </c>
      <c r="G13" s="17" t="n">
        <v>10</v>
      </c>
      <c r="H13" s="19" t="n">
        <v>39.99</v>
      </c>
      <c r="I13" s="19" t="n">
        <f aca="false">G13*H13</f>
        <v>399.9</v>
      </c>
    </row>
    <row r="14" customFormat="false" ht="15" hidden="false" customHeight="false" outlineLevel="0" collapsed="false">
      <c r="A14" s="17" t="n">
        <v>1013</v>
      </c>
      <c r="B14" s="18" t="n">
        <v>45305</v>
      </c>
      <c r="C14" s="17" t="s">
        <v>20</v>
      </c>
      <c r="D14" s="17" t="s">
        <v>25</v>
      </c>
      <c r="E14" s="17" t="s">
        <v>26</v>
      </c>
      <c r="F14" s="17" t="s">
        <v>39</v>
      </c>
      <c r="G14" s="17" t="n">
        <v>9</v>
      </c>
      <c r="H14" s="19" t="n">
        <v>19.99</v>
      </c>
      <c r="I14" s="19" t="n">
        <f aca="false">G14*H14</f>
        <v>179.91</v>
      </c>
    </row>
    <row r="15" customFormat="false" ht="15" hidden="false" customHeight="false" outlineLevel="0" collapsed="false">
      <c r="A15" s="17" t="n">
        <v>1014</v>
      </c>
      <c r="B15" s="18" t="n">
        <v>45305</v>
      </c>
      <c r="C15" s="17" t="s">
        <v>24</v>
      </c>
      <c r="D15" s="17" t="s">
        <v>28</v>
      </c>
      <c r="E15" s="17" t="s">
        <v>29</v>
      </c>
      <c r="F15" s="17" t="s">
        <v>39</v>
      </c>
      <c r="G15" s="17" t="n">
        <v>9</v>
      </c>
      <c r="H15" s="19" t="n">
        <v>14.99</v>
      </c>
      <c r="I15" s="19" t="n">
        <f aca="false">G15*H15</f>
        <v>134.91</v>
      </c>
    </row>
    <row r="16" customFormat="false" ht="15" hidden="false" customHeight="false" outlineLevel="0" collapsed="false">
      <c r="A16" s="17" t="n">
        <v>1015</v>
      </c>
      <c r="B16" s="18" t="n">
        <v>45305</v>
      </c>
      <c r="C16" s="17" t="s">
        <v>24</v>
      </c>
      <c r="D16" s="17" t="s">
        <v>35</v>
      </c>
      <c r="E16" s="17" t="s">
        <v>41</v>
      </c>
      <c r="F16" s="17" t="s">
        <v>27</v>
      </c>
      <c r="G16" s="17" t="n">
        <v>11</v>
      </c>
      <c r="H16" s="19" t="n">
        <v>44.99</v>
      </c>
      <c r="I16" s="19" t="n">
        <f aca="false">G16*H16</f>
        <v>494.89</v>
      </c>
    </row>
    <row r="17" customFormat="false" ht="15" hidden="false" customHeight="false" outlineLevel="0" collapsed="false">
      <c r="A17" s="17" t="n">
        <v>1016</v>
      </c>
      <c r="B17" s="18" t="n">
        <v>45306</v>
      </c>
      <c r="C17" s="17" t="s">
        <v>20</v>
      </c>
      <c r="D17" s="17" t="s">
        <v>32</v>
      </c>
      <c r="E17" s="17" t="s">
        <v>42</v>
      </c>
      <c r="F17" s="17" t="s">
        <v>43</v>
      </c>
      <c r="G17" s="17" t="n">
        <v>5</v>
      </c>
      <c r="H17" s="19" t="n">
        <v>49.99</v>
      </c>
      <c r="I17" s="19" t="n">
        <f aca="false">G17*H17</f>
        <v>249.95</v>
      </c>
    </row>
    <row r="18" customFormat="false" ht="15" hidden="false" customHeight="false" outlineLevel="0" collapsed="false">
      <c r="A18" s="17" t="n">
        <v>1017</v>
      </c>
      <c r="B18" s="18" t="n">
        <v>45308</v>
      </c>
      <c r="C18" s="17" t="s">
        <v>31</v>
      </c>
      <c r="D18" s="17" t="s">
        <v>25</v>
      </c>
      <c r="E18" s="17" t="s">
        <v>26</v>
      </c>
      <c r="F18" s="17" t="s">
        <v>30</v>
      </c>
      <c r="G18" s="17" t="n">
        <v>4</v>
      </c>
      <c r="H18" s="19" t="n">
        <v>19.99</v>
      </c>
      <c r="I18" s="19" t="n">
        <f aca="false">G18*H18</f>
        <v>79.96</v>
      </c>
    </row>
    <row r="19" customFormat="false" ht="15" hidden="false" customHeight="false" outlineLevel="0" collapsed="false">
      <c r="A19" s="17" t="n">
        <v>1018</v>
      </c>
      <c r="B19" s="18" t="n">
        <v>45311</v>
      </c>
      <c r="C19" s="17" t="s">
        <v>20</v>
      </c>
      <c r="D19" s="17" t="s">
        <v>32</v>
      </c>
      <c r="E19" s="17" t="s">
        <v>42</v>
      </c>
      <c r="F19" s="17" t="s">
        <v>37</v>
      </c>
      <c r="G19" s="17" t="n">
        <v>2</v>
      </c>
      <c r="H19" s="19" t="n">
        <v>49.99</v>
      </c>
      <c r="I19" s="19" t="n">
        <f aca="false">G19*H19</f>
        <v>99.98</v>
      </c>
    </row>
    <row r="20" customFormat="false" ht="15" hidden="false" customHeight="false" outlineLevel="0" collapsed="false">
      <c r="A20" s="17" t="n">
        <v>1019</v>
      </c>
      <c r="B20" s="18" t="n">
        <v>45311</v>
      </c>
      <c r="C20" s="17" t="s">
        <v>34</v>
      </c>
      <c r="D20" s="17" t="s">
        <v>25</v>
      </c>
      <c r="E20" s="17" t="s">
        <v>38</v>
      </c>
      <c r="F20" s="17" t="s">
        <v>27</v>
      </c>
      <c r="G20" s="17" t="n">
        <v>3</v>
      </c>
      <c r="H20" s="19" t="n">
        <v>59.99</v>
      </c>
      <c r="I20" s="19" t="n">
        <f aca="false">G20*H20</f>
        <v>179.97</v>
      </c>
    </row>
    <row r="21" customFormat="false" ht="15" hidden="false" customHeight="false" outlineLevel="0" collapsed="false">
      <c r="A21" s="17" t="n">
        <v>1020</v>
      </c>
      <c r="B21" s="18" t="n">
        <v>45313</v>
      </c>
      <c r="C21" s="17" t="s">
        <v>24</v>
      </c>
      <c r="D21" s="17" t="s">
        <v>35</v>
      </c>
      <c r="E21" s="17" t="s">
        <v>36</v>
      </c>
      <c r="F21" s="17" t="s">
        <v>37</v>
      </c>
      <c r="G21" s="17" t="n">
        <v>10</v>
      </c>
      <c r="H21" s="19" t="n">
        <v>54.99</v>
      </c>
      <c r="I21" s="19" t="n">
        <f aca="false">G21*H21</f>
        <v>549.9</v>
      </c>
    </row>
    <row r="22" customFormat="false" ht="15" hidden="false" customHeight="false" outlineLevel="0" collapsed="false">
      <c r="A22" s="17" t="n">
        <v>1021</v>
      </c>
      <c r="B22" s="18" t="n">
        <v>45314</v>
      </c>
      <c r="C22" s="17" t="s">
        <v>34</v>
      </c>
      <c r="D22" s="17" t="s">
        <v>21</v>
      </c>
      <c r="E22" s="17" t="s">
        <v>40</v>
      </c>
      <c r="F22" s="17" t="s">
        <v>37</v>
      </c>
      <c r="G22" s="17" t="n">
        <v>5</v>
      </c>
      <c r="H22" s="19" t="n">
        <v>69.99</v>
      </c>
      <c r="I22" s="19" t="n">
        <f aca="false">G22*H22</f>
        <v>349.95</v>
      </c>
    </row>
    <row r="23" customFormat="false" ht="15" hidden="false" customHeight="false" outlineLevel="0" collapsed="false">
      <c r="A23" s="17" t="n">
        <v>1022</v>
      </c>
      <c r="B23" s="18" t="n">
        <v>45315</v>
      </c>
      <c r="C23" s="17" t="s">
        <v>34</v>
      </c>
      <c r="D23" s="17" t="s">
        <v>25</v>
      </c>
      <c r="E23" s="17" t="s">
        <v>44</v>
      </c>
      <c r="F23" s="17" t="s">
        <v>30</v>
      </c>
      <c r="G23" s="17" t="n">
        <v>2</v>
      </c>
      <c r="H23" s="19" t="n">
        <v>74.99</v>
      </c>
      <c r="I23" s="19" t="n">
        <f aca="false">G23*H23</f>
        <v>149.98</v>
      </c>
    </row>
    <row r="24" customFormat="false" ht="15" hidden="false" customHeight="false" outlineLevel="0" collapsed="false">
      <c r="A24" s="17" t="n">
        <v>1023</v>
      </c>
      <c r="B24" s="18" t="n">
        <v>45317</v>
      </c>
      <c r="C24" s="17" t="s">
        <v>31</v>
      </c>
      <c r="D24" s="17" t="s">
        <v>21</v>
      </c>
      <c r="E24" s="17" t="s">
        <v>40</v>
      </c>
      <c r="F24" s="17" t="s">
        <v>37</v>
      </c>
      <c r="G24" s="17" t="n">
        <v>8</v>
      </c>
      <c r="H24" s="19" t="n">
        <v>69.99</v>
      </c>
      <c r="I24" s="19" t="n">
        <f aca="false">G24*H24</f>
        <v>559.92</v>
      </c>
    </row>
    <row r="25" customFormat="false" ht="15" hidden="false" customHeight="false" outlineLevel="0" collapsed="false">
      <c r="A25" s="17" t="n">
        <v>1024</v>
      </c>
      <c r="B25" s="18" t="n">
        <v>45318</v>
      </c>
      <c r="C25" s="17" t="s">
        <v>34</v>
      </c>
      <c r="D25" s="17" t="s">
        <v>25</v>
      </c>
      <c r="E25" s="17" t="s">
        <v>38</v>
      </c>
      <c r="F25" s="17" t="s">
        <v>43</v>
      </c>
      <c r="G25" s="17" t="n">
        <v>2</v>
      </c>
      <c r="H25" s="19" t="n">
        <v>59.99</v>
      </c>
      <c r="I25" s="19" t="n">
        <f aca="false">G25*H25</f>
        <v>119.98</v>
      </c>
    </row>
    <row r="26" customFormat="false" ht="15" hidden="false" customHeight="false" outlineLevel="0" collapsed="false">
      <c r="A26" s="17" t="n">
        <v>1025</v>
      </c>
      <c r="B26" s="18" t="n">
        <v>45318</v>
      </c>
      <c r="C26" s="17" t="s">
        <v>20</v>
      </c>
      <c r="D26" s="17" t="s">
        <v>25</v>
      </c>
      <c r="E26" s="17" t="s">
        <v>44</v>
      </c>
      <c r="F26" s="17" t="s">
        <v>30</v>
      </c>
      <c r="G26" s="17" t="n">
        <v>3</v>
      </c>
      <c r="H26" s="19" t="n">
        <v>74.99</v>
      </c>
      <c r="I26" s="19" t="n">
        <f aca="false">G26*H26</f>
        <v>224.97</v>
      </c>
    </row>
    <row r="27" customFormat="false" ht="15" hidden="false" customHeight="false" outlineLevel="0" collapsed="false">
      <c r="A27" s="17" t="n">
        <v>1026</v>
      </c>
      <c r="B27" s="18" t="n">
        <v>45319</v>
      </c>
      <c r="C27" s="17" t="s">
        <v>20</v>
      </c>
      <c r="D27" s="17" t="s">
        <v>35</v>
      </c>
      <c r="E27" s="17" t="s">
        <v>45</v>
      </c>
      <c r="F27" s="17" t="s">
        <v>23</v>
      </c>
      <c r="G27" s="17" t="n">
        <v>7</v>
      </c>
      <c r="H27" s="19" t="n">
        <v>89.99</v>
      </c>
      <c r="I27" s="19" t="n">
        <f aca="false">G27*H27</f>
        <v>629.93</v>
      </c>
    </row>
    <row r="28" customFormat="false" ht="15" hidden="false" customHeight="false" outlineLevel="0" collapsed="false">
      <c r="A28" s="17" t="n">
        <v>1027</v>
      </c>
      <c r="B28" s="18" t="n">
        <v>45319</v>
      </c>
      <c r="C28" s="17" t="s">
        <v>31</v>
      </c>
      <c r="D28" s="17" t="s">
        <v>21</v>
      </c>
      <c r="E28" s="17" t="s">
        <v>40</v>
      </c>
      <c r="F28" s="17" t="s">
        <v>43</v>
      </c>
      <c r="G28" s="17" t="n">
        <v>7</v>
      </c>
      <c r="H28" s="19" t="n">
        <v>69.99</v>
      </c>
      <c r="I28" s="19" t="n">
        <f aca="false">G28*H28</f>
        <v>489.93</v>
      </c>
    </row>
    <row r="29" customFormat="false" ht="15" hidden="false" customHeight="false" outlineLevel="0" collapsed="false">
      <c r="A29" s="17" t="n">
        <v>1028</v>
      </c>
      <c r="B29" s="18" t="n">
        <v>45319</v>
      </c>
      <c r="C29" s="17" t="s">
        <v>20</v>
      </c>
      <c r="D29" s="17" t="s">
        <v>35</v>
      </c>
      <c r="E29" s="17" t="s">
        <v>41</v>
      </c>
      <c r="F29" s="17" t="s">
        <v>27</v>
      </c>
      <c r="G29" s="17" t="n">
        <v>3</v>
      </c>
      <c r="H29" s="19" t="n">
        <v>44.99</v>
      </c>
      <c r="I29" s="19" t="n">
        <f aca="false">G29*H29</f>
        <v>134.97</v>
      </c>
    </row>
    <row r="30" customFormat="false" ht="15" hidden="false" customHeight="false" outlineLevel="0" collapsed="false">
      <c r="A30" s="17" t="n">
        <v>1029</v>
      </c>
      <c r="B30" s="18" t="n">
        <v>45320</v>
      </c>
      <c r="C30" s="17" t="s">
        <v>31</v>
      </c>
      <c r="D30" s="17" t="s">
        <v>25</v>
      </c>
      <c r="E30" s="17" t="s">
        <v>44</v>
      </c>
      <c r="F30" s="17" t="s">
        <v>37</v>
      </c>
      <c r="G30" s="17" t="n">
        <v>7</v>
      </c>
      <c r="H30" s="19" t="n">
        <v>74.99</v>
      </c>
      <c r="I30" s="19" t="n">
        <f aca="false">G30*H30</f>
        <v>524.93</v>
      </c>
    </row>
    <row r="31" customFormat="false" ht="15" hidden="false" customHeight="false" outlineLevel="0" collapsed="false">
      <c r="A31" s="17" t="n">
        <v>1030</v>
      </c>
      <c r="B31" s="18" t="n">
        <v>45320</v>
      </c>
      <c r="C31" s="17" t="s">
        <v>24</v>
      </c>
      <c r="D31" s="17" t="s">
        <v>32</v>
      </c>
      <c r="E31" s="17" t="s">
        <v>42</v>
      </c>
      <c r="F31" s="17" t="s">
        <v>37</v>
      </c>
      <c r="G31" s="17" t="n">
        <v>4</v>
      </c>
      <c r="H31" s="19" t="n">
        <v>49.99</v>
      </c>
      <c r="I31" s="19" t="n">
        <f aca="false">G31*H31</f>
        <v>199.96</v>
      </c>
    </row>
    <row r="32" customFormat="false" ht="15" hidden="false" customHeight="false" outlineLevel="0" collapsed="false">
      <c r="A32" s="17" t="n">
        <v>1031</v>
      </c>
      <c r="B32" s="18" t="n">
        <v>45322</v>
      </c>
      <c r="C32" s="17" t="s">
        <v>20</v>
      </c>
      <c r="D32" s="17" t="s">
        <v>21</v>
      </c>
      <c r="E32" s="17" t="s">
        <v>22</v>
      </c>
      <c r="F32" s="17" t="s">
        <v>27</v>
      </c>
      <c r="G32" s="17" t="n">
        <v>2</v>
      </c>
      <c r="H32" s="19" t="n">
        <v>24.99</v>
      </c>
      <c r="I32" s="19" t="n">
        <f aca="false">G32*H32</f>
        <v>49.98</v>
      </c>
    </row>
    <row r="33" customFormat="false" ht="15" hidden="false" customHeight="false" outlineLevel="0" collapsed="false">
      <c r="A33" s="17" t="n">
        <v>1032</v>
      </c>
      <c r="B33" s="18" t="n">
        <v>45323</v>
      </c>
      <c r="C33" s="17" t="s">
        <v>34</v>
      </c>
      <c r="D33" s="17" t="s">
        <v>35</v>
      </c>
      <c r="E33" s="17" t="s">
        <v>36</v>
      </c>
      <c r="F33" s="17" t="s">
        <v>39</v>
      </c>
      <c r="G33" s="17" t="n">
        <v>11</v>
      </c>
      <c r="H33" s="19" t="n">
        <v>54.99</v>
      </c>
      <c r="I33" s="19" t="n">
        <f aca="false">G33*H33</f>
        <v>604.89</v>
      </c>
    </row>
    <row r="34" customFormat="false" ht="15" hidden="false" customHeight="false" outlineLevel="0" collapsed="false">
      <c r="A34" s="17" t="n">
        <v>1033</v>
      </c>
      <c r="B34" s="18" t="n">
        <v>45326</v>
      </c>
      <c r="C34" s="17" t="s">
        <v>31</v>
      </c>
      <c r="D34" s="17" t="s">
        <v>35</v>
      </c>
      <c r="E34" s="17" t="s">
        <v>41</v>
      </c>
      <c r="F34" s="17" t="s">
        <v>39</v>
      </c>
      <c r="G34" s="17" t="n">
        <v>8</v>
      </c>
      <c r="H34" s="19" t="n">
        <v>44.99</v>
      </c>
      <c r="I34" s="19" t="n">
        <f aca="false">G34*H34</f>
        <v>359.92</v>
      </c>
    </row>
    <row r="35" customFormat="false" ht="15" hidden="false" customHeight="false" outlineLevel="0" collapsed="false">
      <c r="A35" s="17" t="n">
        <v>1034</v>
      </c>
      <c r="B35" s="18" t="n">
        <v>45327</v>
      </c>
      <c r="C35" s="17" t="s">
        <v>31</v>
      </c>
      <c r="D35" s="17" t="s">
        <v>21</v>
      </c>
      <c r="E35" s="17" t="s">
        <v>40</v>
      </c>
      <c r="F35" s="17" t="s">
        <v>43</v>
      </c>
      <c r="G35" s="17" t="n">
        <v>4</v>
      </c>
      <c r="H35" s="19" t="n">
        <v>69.99</v>
      </c>
      <c r="I35" s="19" t="n">
        <f aca="false">G35*H35</f>
        <v>279.96</v>
      </c>
    </row>
    <row r="36" customFormat="false" ht="15" hidden="false" customHeight="false" outlineLevel="0" collapsed="false">
      <c r="A36" s="17" t="n">
        <v>1035</v>
      </c>
      <c r="B36" s="18" t="n">
        <v>45327</v>
      </c>
      <c r="C36" s="17" t="s">
        <v>20</v>
      </c>
      <c r="D36" s="17" t="s">
        <v>21</v>
      </c>
      <c r="E36" s="17" t="s">
        <v>40</v>
      </c>
      <c r="F36" s="17" t="s">
        <v>30</v>
      </c>
      <c r="G36" s="17" t="n">
        <v>6</v>
      </c>
      <c r="H36" s="19" t="n">
        <v>69.99</v>
      </c>
      <c r="I36" s="19" t="n">
        <f aca="false">G36*H36</f>
        <v>419.94</v>
      </c>
    </row>
    <row r="37" customFormat="false" ht="15" hidden="false" customHeight="false" outlineLevel="0" collapsed="false">
      <c r="A37" s="17" t="n">
        <v>1036</v>
      </c>
      <c r="B37" s="18" t="n">
        <v>45327</v>
      </c>
      <c r="C37" s="17" t="s">
        <v>20</v>
      </c>
      <c r="D37" s="17" t="s">
        <v>35</v>
      </c>
      <c r="E37" s="17" t="s">
        <v>41</v>
      </c>
      <c r="F37" s="17" t="s">
        <v>43</v>
      </c>
      <c r="G37" s="17" t="n">
        <v>7</v>
      </c>
      <c r="H37" s="19" t="n">
        <v>44.99</v>
      </c>
      <c r="I37" s="19" t="n">
        <f aca="false">G37*H37</f>
        <v>314.93</v>
      </c>
    </row>
    <row r="38" customFormat="false" ht="15" hidden="false" customHeight="false" outlineLevel="0" collapsed="false">
      <c r="A38" s="17" t="n">
        <v>1037</v>
      </c>
      <c r="B38" s="18" t="n">
        <v>45328</v>
      </c>
      <c r="C38" s="17" t="s">
        <v>24</v>
      </c>
      <c r="D38" s="17" t="s">
        <v>32</v>
      </c>
      <c r="E38" s="17" t="s">
        <v>42</v>
      </c>
      <c r="F38" s="17" t="s">
        <v>37</v>
      </c>
      <c r="G38" s="17" t="n">
        <v>10</v>
      </c>
      <c r="H38" s="19" t="n">
        <v>49.99</v>
      </c>
      <c r="I38" s="19" t="n">
        <f aca="false">G38*H38</f>
        <v>499.9</v>
      </c>
    </row>
    <row r="39" customFormat="false" ht="15" hidden="false" customHeight="false" outlineLevel="0" collapsed="false">
      <c r="A39" s="17" t="n">
        <v>1038</v>
      </c>
      <c r="B39" s="18" t="n">
        <v>45328</v>
      </c>
      <c r="C39" s="17" t="s">
        <v>24</v>
      </c>
      <c r="D39" s="17" t="s">
        <v>21</v>
      </c>
      <c r="E39" s="17" t="s">
        <v>40</v>
      </c>
      <c r="F39" s="17" t="s">
        <v>37</v>
      </c>
      <c r="G39" s="17" t="n">
        <v>11</v>
      </c>
      <c r="H39" s="19" t="n">
        <v>69.99</v>
      </c>
      <c r="I39" s="19" t="n">
        <f aca="false">G39*H39</f>
        <v>769.89</v>
      </c>
    </row>
    <row r="40" customFormat="false" ht="15" hidden="false" customHeight="false" outlineLevel="0" collapsed="false">
      <c r="A40" s="17" t="n">
        <v>1039</v>
      </c>
      <c r="B40" s="18" t="n">
        <v>45329</v>
      </c>
      <c r="C40" s="17" t="s">
        <v>34</v>
      </c>
      <c r="D40" s="17" t="s">
        <v>32</v>
      </c>
      <c r="E40" s="17" t="s">
        <v>42</v>
      </c>
      <c r="F40" s="17" t="s">
        <v>30</v>
      </c>
      <c r="G40" s="17" t="n">
        <v>10</v>
      </c>
      <c r="H40" s="19" t="n">
        <v>49.99</v>
      </c>
      <c r="I40" s="19" t="n">
        <f aca="false">G40*H40</f>
        <v>499.9</v>
      </c>
    </row>
    <row r="41" customFormat="false" ht="15" hidden="false" customHeight="false" outlineLevel="0" collapsed="false">
      <c r="A41" s="17" t="n">
        <v>1040</v>
      </c>
      <c r="B41" s="18" t="n">
        <v>45331</v>
      </c>
      <c r="C41" s="17" t="s">
        <v>24</v>
      </c>
      <c r="D41" s="17" t="s">
        <v>21</v>
      </c>
      <c r="E41" s="17" t="s">
        <v>22</v>
      </c>
      <c r="F41" s="17" t="s">
        <v>30</v>
      </c>
      <c r="G41" s="17" t="n">
        <v>6</v>
      </c>
      <c r="H41" s="19" t="n">
        <v>24.99</v>
      </c>
      <c r="I41" s="19" t="n">
        <f aca="false">G41*H41</f>
        <v>149.94</v>
      </c>
    </row>
    <row r="42" customFormat="false" ht="15" hidden="false" customHeight="false" outlineLevel="0" collapsed="false">
      <c r="A42" s="17" t="n">
        <v>1041</v>
      </c>
      <c r="B42" s="18" t="n">
        <v>45332</v>
      </c>
      <c r="C42" s="17" t="s">
        <v>34</v>
      </c>
      <c r="D42" s="17" t="s">
        <v>21</v>
      </c>
      <c r="E42" s="17" t="s">
        <v>22</v>
      </c>
      <c r="F42" s="17" t="s">
        <v>30</v>
      </c>
      <c r="G42" s="17" t="n">
        <v>11</v>
      </c>
      <c r="H42" s="19" t="n">
        <v>24.99</v>
      </c>
      <c r="I42" s="19" t="n">
        <f aca="false">G42*H42</f>
        <v>274.89</v>
      </c>
    </row>
    <row r="43" customFormat="false" ht="15" hidden="false" customHeight="false" outlineLevel="0" collapsed="false">
      <c r="A43" s="17" t="n">
        <v>1042</v>
      </c>
      <c r="B43" s="18" t="n">
        <v>45333</v>
      </c>
      <c r="C43" s="17" t="s">
        <v>24</v>
      </c>
      <c r="D43" s="17" t="s">
        <v>25</v>
      </c>
      <c r="E43" s="17" t="s">
        <v>26</v>
      </c>
      <c r="F43" s="17" t="s">
        <v>43</v>
      </c>
      <c r="G43" s="17" t="n">
        <v>6</v>
      </c>
      <c r="H43" s="19" t="n">
        <v>19.99</v>
      </c>
      <c r="I43" s="19" t="n">
        <f aca="false">G43*H43</f>
        <v>119.94</v>
      </c>
    </row>
    <row r="44" customFormat="false" ht="15" hidden="false" customHeight="false" outlineLevel="0" collapsed="false">
      <c r="A44" s="17" t="n">
        <v>1043</v>
      </c>
      <c r="B44" s="18" t="n">
        <v>45333</v>
      </c>
      <c r="C44" s="17" t="s">
        <v>24</v>
      </c>
      <c r="D44" s="17" t="s">
        <v>32</v>
      </c>
      <c r="E44" s="17" t="s">
        <v>46</v>
      </c>
      <c r="F44" s="17" t="s">
        <v>23</v>
      </c>
      <c r="G44" s="17" t="n">
        <v>7</v>
      </c>
      <c r="H44" s="19" t="n">
        <v>129.99</v>
      </c>
      <c r="I44" s="19" t="n">
        <f aca="false">G44*H44</f>
        <v>909.93</v>
      </c>
    </row>
    <row r="45" customFormat="false" ht="15" hidden="false" customHeight="false" outlineLevel="0" collapsed="false">
      <c r="A45" s="17" t="n">
        <v>1044</v>
      </c>
      <c r="B45" s="18" t="n">
        <v>45333</v>
      </c>
      <c r="C45" s="17" t="s">
        <v>31</v>
      </c>
      <c r="D45" s="17" t="s">
        <v>32</v>
      </c>
      <c r="E45" s="17" t="s">
        <v>46</v>
      </c>
      <c r="F45" s="17" t="s">
        <v>30</v>
      </c>
      <c r="G45" s="17" t="n">
        <v>2</v>
      </c>
      <c r="H45" s="19" t="n">
        <v>129.99</v>
      </c>
      <c r="I45" s="19" t="n">
        <f aca="false">G45*H45</f>
        <v>259.98</v>
      </c>
    </row>
    <row r="46" customFormat="false" ht="15" hidden="false" customHeight="false" outlineLevel="0" collapsed="false">
      <c r="A46" s="17" t="n">
        <v>1045</v>
      </c>
      <c r="B46" s="18" t="n">
        <v>45335</v>
      </c>
      <c r="C46" s="17" t="s">
        <v>24</v>
      </c>
      <c r="D46" s="17" t="s">
        <v>32</v>
      </c>
      <c r="E46" s="17" t="s">
        <v>42</v>
      </c>
      <c r="F46" s="17" t="s">
        <v>23</v>
      </c>
      <c r="G46" s="17" t="n">
        <v>10</v>
      </c>
      <c r="H46" s="19" t="n">
        <v>49.99</v>
      </c>
      <c r="I46" s="19" t="n">
        <f aca="false">G46*H46</f>
        <v>499.9</v>
      </c>
    </row>
    <row r="47" customFormat="false" ht="15" hidden="false" customHeight="false" outlineLevel="0" collapsed="false">
      <c r="A47" s="17" t="n">
        <v>1046</v>
      </c>
      <c r="B47" s="18" t="n">
        <v>45335</v>
      </c>
      <c r="C47" s="17" t="s">
        <v>34</v>
      </c>
      <c r="D47" s="17" t="s">
        <v>25</v>
      </c>
      <c r="E47" s="17" t="s">
        <v>44</v>
      </c>
      <c r="F47" s="17" t="s">
        <v>39</v>
      </c>
      <c r="G47" s="17" t="n">
        <v>9</v>
      </c>
      <c r="H47" s="19" t="n">
        <v>74.99</v>
      </c>
      <c r="I47" s="19" t="n">
        <f aca="false">G47*H47</f>
        <v>674.91</v>
      </c>
    </row>
    <row r="48" customFormat="false" ht="15" hidden="false" customHeight="false" outlineLevel="0" collapsed="false">
      <c r="A48" s="17" t="n">
        <v>1047</v>
      </c>
      <c r="B48" s="18" t="n">
        <v>45335</v>
      </c>
      <c r="C48" s="17" t="s">
        <v>31</v>
      </c>
      <c r="D48" s="17" t="s">
        <v>25</v>
      </c>
      <c r="E48" s="17" t="s">
        <v>44</v>
      </c>
      <c r="F48" s="17" t="s">
        <v>30</v>
      </c>
      <c r="G48" s="17" t="n">
        <v>7</v>
      </c>
      <c r="H48" s="19" t="n">
        <v>74.99</v>
      </c>
      <c r="I48" s="19" t="n">
        <f aca="false">G48*H48</f>
        <v>524.93</v>
      </c>
    </row>
    <row r="49" customFormat="false" ht="15" hidden="false" customHeight="false" outlineLevel="0" collapsed="false">
      <c r="A49" s="17" t="n">
        <v>1048</v>
      </c>
      <c r="B49" s="18" t="n">
        <v>45337</v>
      </c>
      <c r="C49" s="17" t="s">
        <v>31</v>
      </c>
      <c r="D49" s="17" t="s">
        <v>35</v>
      </c>
      <c r="E49" s="17" t="s">
        <v>45</v>
      </c>
      <c r="F49" s="17" t="s">
        <v>23</v>
      </c>
      <c r="G49" s="17" t="n">
        <v>7</v>
      </c>
      <c r="H49" s="19" t="n">
        <v>89.99</v>
      </c>
      <c r="I49" s="19" t="n">
        <f aca="false">G49*H49</f>
        <v>629.93</v>
      </c>
    </row>
    <row r="50" customFormat="false" ht="15" hidden="false" customHeight="false" outlineLevel="0" collapsed="false">
      <c r="A50" s="17" t="n">
        <v>1049</v>
      </c>
      <c r="B50" s="18" t="n">
        <v>45338</v>
      </c>
      <c r="C50" s="17" t="s">
        <v>31</v>
      </c>
      <c r="D50" s="17" t="s">
        <v>35</v>
      </c>
      <c r="E50" s="17" t="s">
        <v>45</v>
      </c>
      <c r="F50" s="17" t="s">
        <v>37</v>
      </c>
      <c r="G50" s="17" t="n">
        <v>9</v>
      </c>
      <c r="H50" s="19" t="n">
        <v>89.99</v>
      </c>
      <c r="I50" s="19" t="n">
        <f aca="false">G50*H50</f>
        <v>809.91</v>
      </c>
    </row>
    <row r="51" customFormat="false" ht="15" hidden="false" customHeight="false" outlineLevel="0" collapsed="false">
      <c r="A51" s="17" t="n">
        <v>1050</v>
      </c>
      <c r="B51" s="18" t="n">
        <v>45338</v>
      </c>
      <c r="C51" s="17" t="s">
        <v>31</v>
      </c>
      <c r="D51" s="17" t="s">
        <v>35</v>
      </c>
      <c r="E51" s="17" t="s">
        <v>45</v>
      </c>
      <c r="F51" s="17" t="s">
        <v>27</v>
      </c>
      <c r="G51" s="17" t="n">
        <v>12</v>
      </c>
      <c r="H51" s="19" t="n">
        <v>89.99</v>
      </c>
      <c r="I51" s="19" t="n">
        <f aca="false">G51*H51</f>
        <v>1079.88</v>
      </c>
    </row>
    <row r="52" customFormat="false" ht="15" hidden="false" customHeight="false" outlineLevel="0" collapsed="false">
      <c r="A52" s="17" t="n">
        <v>1051</v>
      </c>
      <c r="B52" s="18" t="n">
        <v>45339</v>
      </c>
      <c r="C52" s="17" t="s">
        <v>24</v>
      </c>
      <c r="D52" s="17" t="s">
        <v>25</v>
      </c>
      <c r="E52" s="17" t="s">
        <v>44</v>
      </c>
      <c r="F52" s="17" t="s">
        <v>30</v>
      </c>
      <c r="G52" s="17" t="n">
        <v>10</v>
      </c>
      <c r="H52" s="19" t="n">
        <v>74.99</v>
      </c>
      <c r="I52" s="19" t="n">
        <f aca="false">G52*H52</f>
        <v>749.9</v>
      </c>
    </row>
    <row r="53" customFormat="false" ht="15" hidden="false" customHeight="false" outlineLevel="0" collapsed="false">
      <c r="A53" s="17" t="n">
        <v>1052</v>
      </c>
      <c r="B53" s="18" t="n">
        <v>45339</v>
      </c>
      <c r="C53" s="17" t="s">
        <v>34</v>
      </c>
      <c r="D53" s="17" t="s">
        <v>21</v>
      </c>
      <c r="E53" s="17" t="s">
        <v>40</v>
      </c>
      <c r="F53" s="17" t="s">
        <v>37</v>
      </c>
      <c r="G53" s="17" t="n">
        <v>1</v>
      </c>
      <c r="H53" s="19" t="n">
        <v>69.99</v>
      </c>
      <c r="I53" s="19" t="n">
        <f aca="false">G53*H53</f>
        <v>69.99</v>
      </c>
    </row>
    <row r="54" customFormat="false" ht="15" hidden="false" customHeight="false" outlineLevel="0" collapsed="false">
      <c r="A54" s="17" t="n">
        <v>1053</v>
      </c>
      <c r="B54" s="18" t="n">
        <v>45342</v>
      </c>
      <c r="C54" s="17" t="s">
        <v>20</v>
      </c>
      <c r="D54" s="17" t="s">
        <v>21</v>
      </c>
      <c r="E54" s="17" t="s">
        <v>40</v>
      </c>
      <c r="F54" s="17" t="s">
        <v>30</v>
      </c>
      <c r="G54" s="17" t="n">
        <v>11</v>
      </c>
      <c r="H54" s="19" t="n">
        <v>69.99</v>
      </c>
      <c r="I54" s="19" t="n">
        <f aca="false">G54*H54</f>
        <v>769.89</v>
      </c>
    </row>
    <row r="55" customFormat="false" ht="15" hidden="false" customHeight="false" outlineLevel="0" collapsed="false">
      <c r="A55" s="17" t="n">
        <v>1054</v>
      </c>
      <c r="B55" s="18" t="n">
        <v>45342</v>
      </c>
      <c r="C55" s="17" t="s">
        <v>20</v>
      </c>
      <c r="D55" s="17" t="s">
        <v>28</v>
      </c>
      <c r="E55" s="17" t="s">
        <v>29</v>
      </c>
      <c r="F55" s="17" t="s">
        <v>23</v>
      </c>
      <c r="G55" s="17" t="n">
        <v>3</v>
      </c>
      <c r="H55" s="19" t="n">
        <v>14.99</v>
      </c>
      <c r="I55" s="19" t="n">
        <f aca="false">G55*H55</f>
        <v>44.97</v>
      </c>
    </row>
    <row r="56" customFormat="false" ht="15" hidden="false" customHeight="false" outlineLevel="0" collapsed="false">
      <c r="A56" s="17" t="n">
        <v>1055</v>
      </c>
      <c r="B56" s="18" t="n">
        <v>45343</v>
      </c>
      <c r="C56" s="17" t="s">
        <v>34</v>
      </c>
      <c r="D56" s="17" t="s">
        <v>35</v>
      </c>
      <c r="E56" s="17" t="s">
        <v>41</v>
      </c>
      <c r="F56" s="17" t="s">
        <v>43</v>
      </c>
      <c r="G56" s="17" t="n">
        <v>12</v>
      </c>
      <c r="H56" s="19" t="n">
        <v>44.99</v>
      </c>
      <c r="I56" s="19" t="n">
        <f aca="false">G56*H56</f>
        <v>539.88</v>
      </c>
    </row>
    <row r="57" customFormat="false" ht="15" hidden="false" customHeight="false" outlineLevel="0" collapsed="false">
      <c r="A57" s="17" t="n">
        <v>1056</v>
      </c>
      <c r="B57" s="18" t="n">
        <v>45343</v>
      </c>
      <c r="C57" s="17" t="s">
        <v>24</v>
      </c>
      <c r="D57" s="17" t="s">
        <v>32</v>
      </c>
      <c r="E57" s="17" t="s">
        <v>33</v>
      </c>
      <c r="F57" s="17" t="s">
        <v>30</v>
      </c>
      <c r="G57" s="17" t="n">
        <v>5</v>
      </c>
      <c r="H57" s="19" t="n">
        <v>39.99</v>
      </c>
      <c r="I57" s="19" t="n">
        <f aca="false">G57*H57</f>
        <v>199.95</v>
      </c>
    </row>
    <row r="58" customFormat="false" ht="15" hidden="false" customHeight="false" outlineLevel="0" collapsed="false">
      <c r="A58" s="17" t="n">
        <v>1057</v>
      </c>
      <c r="B58" s="18" t="n">
        <v>45343</v>
      </c>
      <c r="C58" s="17" t="s">
        <v>24</v>
      </c>
      <c r="D58" s="17" t="s">
        <v>35</v>
      </c>
      <c r="E58" s="17" t="s">
        <v>36</v>
      </c>
      <c r="F58" s="17" t="s">
        <v>27</v>
      </c>
      <c r="G58" s="17" t="n">
        <v>5</v>
      </c>
      <c r="H58" s="19" t="n">
        <v>54.99</v>
      </c>
      <c r="I58" s="19" t="n">
        <f aca="false">G58*H58</f>
        <v>274.95</v>
      </c>
    </row>
    <row r="59" customFormat="false" ht="15" hidden="false" customHeight="false" outlineLevel="0" collapsed="false">
      <c r="A59" s="17" t="n">
        <v>1058</v>
      </c>
      <c r="B59" s="18" t="n">
        <v>45344</v>
      </c>
      <c r="C59" s="17" t="s">
        <v>34</v>
      </c>
      <c r="D59" s="17" t="s">
        <v>32</v>
      </c>
      <c r="E59" s="17" t="s">
        <v>33</v>
      </c>
      <c r="F59" s="17" t="s">
        <v>43</v>
      </c>
      <c r="G59" s="17" t="n">
        <v>6</v>
      </c>
      <c r="H59" s="19" t="n">
        <v>39.99</v>
      </c>
      <c r="I59" s="19" t="n">
        <f aca="false">G59*H59</f>
        <v>239.94</v>
      </c>
    </row>
    <row r="60" customFormat="false" ht="15" hidden="false" customHeight="false" outlineLevel="0" collapsed="false">
      <c r="A60" s="17" t="n">
        <v>1059</v>
      </c>
      <c r="B60" s="18" t="n">
        <v>45344</v>
      </c>
      <c r="C60" s="17" t="s">
        <v>31</v>
      </c>
      <c r="D60" s="17" t="s">
        <v>25</v>
      </c>
      <c r="E60" s="17" t="s">
        <v>26</v>
      </c>
      <c r="F60" s="17" t="s">
        <v>30</v>
      </c>
      <c r="G60" s="17" t="n">
        <v>11</v>
      </c>
      <c r="H60" s="19" t="n">
        <v>19.99</v>
      </c>
      <c r="I60" s="19" t="n">
        <f aca="false">G60*H60</f>
        <v>219.89</v>
      </c>
    </row>
    <row r="61" customFormat="false" ht="15" hidden="false" customHeight="false" outlineLevel="0" collapsed="false">
      <c r="A61" s="17" t="n">
        <v>1060</v>
      </c>
      <c r="B61" s="18" t="n">
        <v>45345</v>
      </c>
      <c r="C61" s="17" t="s">
        <v>20</v>
      </c>
      <c r="D61" s="17" t="s">
        <v>32</v>
      </c>
      <c r="E61" s="17" t="s">
        <v>46</v>
      </c>
      <c r="F61" s="17" t="s">
        <v>39</v>
      </c>
      <c r="G61" s="17" t="n">
        <v>12</v>
      </c>
      <c r="H61" s="19" t="n">
        <v>129.99</v>
      </c>
      <c r="I61" s="19" t="n">
        <f aca="false">G61*H61</f>
        <v>1559.88</v>
      </c>
    </row>
    <row r="62" customFormat="false" ht="15" hidden="false" customHeight="false" outlineLevel="0" collapsed="false">
      <c r="A62" s="17" t="n">
        <v>1061</v>
      </c>
      <c r="B62" s="18" t="n">
        <v>45347</v>
      </c>
      <c r="C62" s="17" t="s">
        <v>34</v>
      </c>
      <c r="D62" s="17" t="s">
        <v>35</v>
      </c>
      <c r="E62" s="17" t="s">
        <v>36</v>
      </c>
      <c r="F62" s="17" t="s">
        <v>43</v>
      </c>
      <c r="G62" s="17" t="n">
        <v>2</v>
      </c>
      <c r="H62" s="19" t="n">
        <v>54.99</v>
      </c>
      <c r="I62" s="19" t="n">
        <f aca="false">G62*H62</f>
        <v>109.98</v>
      </c>
    </row>
    <row r="63" customFormat="false" ht="15" hidden="false" customHeight="false" outlineLevel="0" collapsed="false">
      <c r="A63" s="17" t="n">
        <v>1062</v>
      </c>
      <c r="B63" s="18" t="n">
        <v>45348</v>
      </c>
      <c r="C63" s="17" t="s">
        <v>34</v>
      </c>
      <c r="D63" s="17" t="s">
        <v>25</v>
      </c>
      <c r="E63" s="17" t="s">
        <v>38</v>
      </c>
      <c r="F63" s="17" t="s">
        <v>30</v>
      </c>
      <c r="G63" s="17" t="n">
        <v>11</v>
      </c>
      <c r="H63" s="19" t="n">
        <v>59.99</v>
      </c>
      <c r="I63" s="19" t="n">
        <f aca="false">G63*H63</f>
        <v>659.89</v>
      </c>
    </row>
    <row r="64" customFormat="false" ht="15" hidden="false" customHeight="false" outlineLevel="0" collapsed="false">
      <c r="A64" s="17" t="n">
        <v>1063</v>
      </c>
      <c r="B64" s="18" t="n">
        <v>45348</v>
      </c>
      <c r="C64" s="17" t="s">
        <v>24</v>
      </c>
      <c r="D64" s="17" t="s">
        <v>32</v>
      </c>
      <c r="E64" s="17" t="s">
        <v>46</v>
      </c>
      <c r="F64" s="17" t="s">
        <v>27</v>
      </c>
      <c r="G64" s="17" t="n">
        <v>7</v>
      </c>
      <c r="H64" s="19" t="n">
        <v>129.99</v>
      </c>
      <c r="I64" s="19" t="n">
        <f aca="false">G64*H64</f>
        <v>909.93</v>
      </c>
    </row>
    <row r="65" customFormat="false" ht="15" hidden="false" customHeight="false" outlineLevel="0" collapsed="false">
      <c r="A65" s="17" t="n">
        <v>1064</v>
      </c>
      <c r="B65" s="18" t="n">
        <v>45349</v>
      </c>
      <c r="C65" s="17" t="s">
        <v>34</v>
      </c>
      <c r="D65" s="17" t="s">
        <v>25</v>
      </c>
      <c r="E65" s="17" t="s">
        <v>38</v>
      </c>
      <c r="F65" s="17" t="s">
        <v>23</v>
      </c>
      <c r="G65" s="17" t="n">
        <v>8</v>
      </c>
      <c r="H65" s="19" t="n">
        <v>59.99</v>
      </c>
      <c r="I65" s="19" t="n">
        <f aca="false">G65*H65</f>
        <v>479.92</v>
      </c>
    </row>
    <row r="66" customFormat="false" ht="15" hidden="false" customHeight="false" outlineLevel="0" collapsed="false">
      <c r="A66" s="17" t="n">
        <v>1065</v>
      </c>
      <c r="B66" s="18" t="n">
        <v>45349</v>
      </c>
      <c r="C66" s="17" t="s">
        <v>20</v>
      </c>
      <c r="D66" s="17" t="s">
        <v>25</v>
      </c>
      <c r="E66" s="17" t="s">
        <v>26</v>
      </c>
      <c r="F66" s="17" t="s">
        <v>23</v>
      </c>
      <c r="G66" s="17" t="n">
        <v>1</v>
      </c>
      <c r="H66" s="19" t="n">
        <v>19.99</v>
      </c>
      <c r="I66" s="19" t="n">
        <f aca="false">G66*H66</f>
        <v>19.99</v>
      </c>
    </row>
    <row r="67" customFormat="false" ht="15" hidden="false" customHeight="false" outlineLevel="0" collapsed="false">
      <c r="A67" s="17" t="n">
        <v>1066</v>
      </c>
      <c r="B67" s="18" t="n">
        <v>45350</v>
      </c>
      <c r="C67" s="17" t="s">
        <v>31</v>
      </c>
      <c r="D67" s="17" t="s">
        <v>35</v>
      </c>
      <c r="E67" s="17" t="s">
        <v>36</v>
      </c>
      <c r="F67" s="17" t="s">
        <v>27</v>
      </c>
      <c r="G67" s="17" t="n">
        <v>3</v>
      </c>
      <c r="H67" s="19" t="n">
        <v>54.99</v>
      </c>
      <c r="I67" s="19" t="n">
        <f aca="false">G67*H67</f>
        <v>164.97</v>
      </c>
    </row>
    <row r="68" customFormat="false" ht="15" hidden="false" customHeight="false" outlineLevel="0" collapsed="false">
      <c r="A68" s="17" t="n">
        <v>1067</v>
      </c>
      <c r="B68" s="18" t="n">
        <v>45350</v>
      </c>
      <c r="C68" s="17" t="s">
        <v>20</v>
      </c>
      <c r="D68" s="17" t="s">
        <v>21</v>
      </c>
      <c r="E68" s="17" t="s">
        <v>40</v>
      </c>
      <c r="F68" s="17" t="s">
        <v>27</v>
      </c>
      <c r="G68" s="17" t="n">
        <v>6</v>
      </c>
      <c r="H68" s="19" t="n">
        <v>69.99</v>
      </c>
      <c r="I68" s="19" t="n">
        <f aca="false">G68*H68</f>
        <v>419.94</v>
      </c>
    </row>
    <row r="69" customFormat="false" ht="15" hidden="false" customHeight="false" outlineLevel="0" collapsed="false">
      <c r="A69" s="17" t="n">
        <v>1068</v>
      </c>
      <c r="B69" s="18" t="n">
        <v>45351</v>
      </c>
      <c r="C69" s="17" t="s">
        <v>31</v>
      </c>
      <c r="D69" s="17" t="s">
        <v>35</v>
      </c>
      <c r="E69" s="17" t="s">
        <v>45</v>
      </c>
      <c r="F69" s="17" t="s">
        <v>27</v>
      </c>
      <c r="G69" s="17" t="n">
        <v>9</v>
      </c>
      <c r="H69" s="19" t="n">
        <v>89.99</v>
      </c>
      <c r="I69" s="19" t="n">
        <f aca="false">G69*H69</f>
        <v>809.91</v>
      </c>
    </row>
    <row r="70" customFormat="false" ht="15" hidden="false" customHeight="false" outlineLevel="0" collapsed="false">
      <c r="A70" s="17" t="n">
        <v>1069</v>
      </c>
      <c r="B70" s="18" t="n">
        <v>45351</v>
      </c>
      <c r="C70" s="17" t="s">
        <v>24</v>
      </c>
      <c r="D70" s="17" t="s">
        <v>32</v>
      </c>
      <c r="E70" s="17" t="s">
        <v>33</v>
      </c>
      <c r="F70" s="17" t="s">
        <v>30</v>
      </c>
      <c r="G70" s="17" t="n">
        <v>3</v>
      </c>
      <c r="H70" s="19" t="n">
        <v>39.99</v>
      </c>
      <c r="I70" s="19" t="n">
        <f aca="false">G70*H70</f>
        <v>119.97</v>
      </c>
    </row>
    <row r="71" customFormat="false" ht="15" hidden="false" customHeight="false" outlineLevel="0" collapsed="false">
      <c r="A71" s="17" t="n">
        <v>1070</v>
      </c>
      <c r="B71" s="18" t="n">
        <v>45351</v>
      </c>
      <c r="C71" s="17" t="s">
        <v>24</v>
      </c>
      <c r="D71" s="17" t="s">
        <v>32</v>
      </c>
      <c r="E71" s="17" t="s">
        <v>33</v>
      </c>
      <c r="F71" s="17" t="s">
        <v>37</v>
      </c>
      <c r="G71" s="17" t="n">
        <v>5</v>
      </c>
      <c r="H71" s="19" t="n">
        <v>39.99</v>
      </c>
      <c r="I71" s="19" t="n">
        <f aca="false">G71*H71</f>
        <v>199.95</v>
      </c>
    </row>
    <row r="72" customFormat="false" ht="15" hidden="false" customHeight="false" outlineLevel="0" collapsed="false">
      <c r="A72" s="17" t="n">
        <v>1071</v>
      </c>
      <c r="B72" s="18" t="n">
        <v>45353</v>
      </c>
      <c r="C72" s="17" t="s">
        <v>24</v>
      </c>
      <c r="D72" s="17" t="s">
        <v>28</v>
      </c>
      <c r="E72" s="17" t="s">
        <v>29</v>
      </c>
      <c r="F72" s="17" t="s">
        <v>37</v>
      </c>
      <c r="G72" s="17" t="n">
        <v>2</v>
      </c>
      <c r="H72" s="19" t="n">
        <v>14.99</v>
      </c>
      <c r="I72" s="19" t="n">
        <f aca="false">G72*H72</f>
        <v>29.98</v>
      </c>
    </row>
    <row r="73" customFormat="false" ht="15" hidden="false" customHeight="false" outlineLevel="0" collapsed="false">
      <c r="A73" s="17" t="n">
        <v>1072</v>
      </c>
      <c r="B73" s="18" t="n">
        <v>45354</v>
      </c>
      <c r="C73" s="17" t="s">
        <v>24</v>
      </c>
      <c r="D73" s="17" t="s">
        <v>25</v>
      </c>
      <c r="E73" s="17" t="s">
        <v>44</v>
      </c>
      <c r="F73" s="17" t="s">
        <v>23</v>
      </c>
      <c r="G73" s="17" t="n">
        <v>8</v>
      </c>
      <c r="H73" s="19" t="n">
        <v>74.99</v>
      </c>
      <c r="I73" s="19" t="n">
        <f aca="false">G73*H73</f>
        <v>599.92</v>
      </c>
    </row>
    <row r="74" customFormat="false" ht="15" hidden="false" customHeight="false" outlineLevel="0" collapsed="false">
      <c r="A74" s="17" t="n">
        <v>1073</v>
      </c>
      <c r="B74" s="18" t="n">
        <v>45354</v>
      </c>
      <c r="C74" s="17" t="s">
        <v>31</v>
      </c>
      <c r="D74" s="17" t="s">
        <v>35</v>
      </c>
      <c r="E74" s="17" t="s">
        <v>36</v>
      </c>
      <c r="F74" s="17" t="s">
        <v>27</v>
      </c>
      <c r="G74" s="17" t="n">
        <v>4</v>
      </c>
      <c r="H74" s="19" t="n">
        <v>54.99</v>
      </c>
      <c r="I74" s="19" t="n">
        <f aca="false">G74*H74</f>
        <v>219.96</v>
      </c>
    </row>
    <row r="75" customFormat="false" ht="15" hidden="false" customHeight="false" outlineLevel="0" collapsed="false">
      <c r="A75" s="17" t="n">
        <v>1074</v>
      </c>
      <c r="B75" s="18" t="n">
        <v>45355</v>
      </c>
      <c r="C75" s="17" t="s">
        <v>31</v>
      </c>
      <c r="D75" s="17" t="s">
        <v>25</v>
      </c>
      <c r="E75" s="17" t="s">
        <v>38</v>
      </c>
      <c r="F75" s="17" t="s">
        <v>23</v>
      </c>
      <c r="G75" s="17" t="n">
        <v>5</v>
      </c>
      <c r="H75" s="19" t="n">
        <v>59.99</v>
      </c>
      <c r="I75" s="19" t="n">
        <f aca="false">G75*H75</f>
        <v>299.95</v>
      </c>
    </row>
    <row r="76" customFormat="false" ht="15" hidden="false" customHeight="false" outlineLevel="0" collapsed="false">
      <c r="A76" s="17" t="n">
        <v>1075</v>
      </c>
      <c r="B76" s="18" t="n">
        <v>45355</v>
      </c>
      <c r="C76" s="17" t="s">
        <v>20</v>
      </c>
      <c r="D76" s="17" t="s">
        <v>35</v>
      </c>
      <c r="E76" s="17" t="s">
        <v>36</v>
      </c>
      <c r="F76" s="17" t="s">
        <v>27</v>
      </c>
      <c r="G76" s="17" t="n">
        <v>12</v>
      </c>
      <c r="H76" s="19" t="n">
        <v>54.99</v>
      </c>
      <c r="I76" s="19" t="n">
        <f aca="false">G76*H76</f>
        <v>659.88</v>
      </c>
    </row>
    <row r="77" customFormat="false" ht="15" hidden="false" customHeight="false" outlineLevel="0" collapsed="false">
      <c r="A77" s="17" t="n">
        <v>1076</v>
      </c>
      <c r="B77" s="18" t="n">
        <v>45356</v>
      </c>
      <c r="C77" s="17" t="s">
        <v>24</v>
      </c>
      <c r="D77" s="17" t="s">
        <v>21</v>
      </c>
      <c r="E77" s="17" t="s">
        <v>22</v>
      </c>
      <c r="F77" s="17" t="s">
        <v>43</v>
      </c>
      <c r="G77" s="17" t="n">
        <v>9</v>
      </c>
      <c r="H77" s="19" t="n">
        <v>24.99</v>
      </c>
      <c r="I77" s="19" t="n">
        <f aca="false">G77*H77</f>
        <v>224.91</v>
      </c>
    </row>
    <row r="78" customFormat="false" ht="15" hidden="false" customHeight="false" outlineLevel="0" collapsed="false">
      <c r="A78" s="17" t="n">
        <v>1077</v>
      </c>
      <c r="B78" s="18" t="n">
        <v>45356</v>
      </c>
      <c r="C78" s="17" t="s">
        <v>20</v>
      </c>
      <c r="D78" s="17" t="s">
        <v>35</v>
      </c>
      <c r="E78" s="17" t="s">
        <v>41</v>
      </c>
      <c r="F78" s="17" t="s">
        <v>43</v>
      </c>
      <c r="G78" s="17" t="n">
        <v>8</v>
      </c>
      <c r="H78" s="19" t="n">
        <v>44.99</v>
      </c>
      <c r="I78" s="19" t="n">
        <f aca="false">G78*H78</f>
        <v>359.92</v>
      </c>
    </row>
    <row r="79" customFormat="false" ht="15" hidden="false" customHeight="false" outlineLevel="0" collapsed="false">
      <c r="A79" s="17" t="n">
        <v>1078</v>
      </c>
      <c r="B79" s="18" t="n">
        <v>45357</v>
      </c>
      <c r="C79" s="17" t="s">
        <v>31</v>
      </c>
      <c r="D79" s="17" t="s">
        <v>21</v>
      </c>
      <c r="E79" s="17" t="s">
        <v>40</v>
      </c>
      <c r="F79" s="17" t="s">
        <v>27</v>
      </c>
      <c r="G79" s="17" t="n">
        <v>11</v>
      </c>
      <c r="H79" s="19" t="n">
        <v>69.99</v>
      </c>
      <c r="I79" s="19" t="n">
        <f aca="false">G79*H79</f>
        <v>769.89</v>
      </c>
    </row>
    <row r="80" customFormat="false" ht="15" hidden="false" customHeight="false" outlineLevel="0" collapsed="false">
      <c r="A80" s="17" t="n">
        <v>1079</v>
      </c>
      <c r="B80" s="18" t="n">
        <v>45358</v>
      </c>
      <c r="C80" s="17" t="s">
        <v>31</v>
      </c>
      <c r="D80" s="17" t="s">
        <v>21</v>
      </c>
      <c r="E80" s="17" t="s">
        <v>22</v>
      </c>
      <c r="F80" s="17" t="s">
        <v>43</v>
      </c>
      <c r="G80" s="17" t="n">
        <v>5</v>
      </c>
      <c r="H80" s="19" t="n">
        <v>24.99</v>
      </c>
      <c r="I80" s="19" t="n">
        <f aca="false">G80*H80</f>
        <v>124.95</v>
      </c>
    </row>
    <row r="81" customFormat="false" ht="15" hidden="false" customHeight="false" outlineLevel="0" collapsed="false">
      <c r="A81" s="17" t="n">
        <v>1080</v>
      </c>
      <c r="B81" s="18" t="n">
        <v>45358</v>
      </c>
      <c r="C81" s="17" t="s">
        <v>20</v>
      </c>
      <c r="D81" s="17" t="s">
        <v>35</v>
      </c>
      <c r="E81" s="17" t="s">
        <v>41</v>
      </c>
      <c r="F81" s="17" t="s">
        <v>23</v>
      </c>
      <c r="G81" s="17" t="n">
        <v>2</v>
      </c>
      <c r="H81" s="19" t="n">
        <v>44.99</v>
      </c>
      <c r="I81" s="19" t="n">
        <f aca="false">G81*H81</f>
        <v>89.98</v>
      </c>
    </row>
    <row r="82" customFormat="false" ht="15" hidden="false" customHeight="false" outlineLevel="0" collapsed="false">
      <c r="A82" s="17" t="n">
        <v>1081</v>
      </c>
      <c r="B82" s="18" t="n">
        <v>45359</v>
      </c>
      <c r="C82" s="17" t="s">
        <v>31</v>
      </c>
      <c r="D82" s="17" t="s">
        <v>25</v>
      </c>
      <c r="E82" s="17" t="s">
        <v>26</v>
      </c>
      <c r="F82" s="17" t="s">
        <v>23</v>
      </c>
      <c r="G82" s="17" t="n">
        <v>6</v>
      </c>
      <c r="H82" s="19" t="n">
        <v>19.99</v>
      </c>
      <c r="I82" s="19" t="n">
        <f aca="false">G82*H82</f>
        <v>119.94</v>
      </c>
    </row>
    <row r="83" customFormat="false" ht="15" hidden="false" customHeight="false" outlineLevel="0" collapsed="false">
      <c r="A83" s="17" t="n">
        <v>1082</v>
      </c>
      <c r="B83" s="18" t="n">
        <v>45359</v>
      </c>
      <c r="C83" s="17" t="s">
        <v>20</v>
      </c>
      <c r="D83" s="17" t="s">
        <v>21</v>
      </c>
      <c r="E83" s="17" t="s">
        <v>40</v>
      </c>
      <c r="F83" s="17" t="s">
        <v>39</v>
      </c>
      <c r="G83" s="17" t="n">
        <v>6</v>
      </c>
      <c r="H83" s="19" t="n">
        <v>69.99</v>
      </c>
      <c r="I83" s="19" t="n">
        <f aca="false">G83*H83</f>
        <v>419.94</v>
      </c>
    </row>
    <row r="84" customFormat="false" ht="15" hidden="false" customHeight="false" outlineLevel="0" collapsed="false">
      <c r="A84" s="17" t="n">
        <v>1083</v>
      </c>
      <c r="B84" s="18" t="n">
        <v>45359</v>
      </c>
      <c r="C84" s="17" t="s">
        <v>20</v>
      </c>
      <c r="D84" s="17" t="s">
        <v>35</v>
      </c>
      <c r="E84" s="17" t="s">
        <v>41</v>
      </c>
      <c r="F84" s="17" t="s">
        <v>30</v>
      </c>
      <c r="G84" s="17" t="n">
        <v>9</v>
      </c>
      <c r="H84" s="19" t="n">
        <v>44.99</v>
      </c>
      <c r="I84" s="19" t="n">
        <f aca="false">G84*H84</f>
        <v>404.91</v>
      </c>
    </row>
    <row r="85" customFormat="false" ht="15" hidden="false" customHeight="false" outlineLevel="0" collapsed="false">
      <c r="A85" s="17" t="n">
        <v>1084</v>
      </c>
      <c r="B85" s="18" t="n">
        <v>45359</v>
      </c>
      <c r="C85" s="17" t="s">
        <v>34</v>
      </c>
      <c r="D85" s="17" t="s">
        <v>28</v>
      </c>
      <c r="E85" s="17" t="s">
        <v>29</v>
      </c>
      <c r="F85" s="17" t="s">
        <v>23</v>
      </c>
      <c r="G85" s="17" t="n">
        <v>8</v>
      </c>
      <c r="H85" s="19" t="n">
        <v>14.99</v>
      </c>
      <c r="I85" s="19" t="n">
        <f aca="false">G85*H85</f>
        <v>119.92</v>
      </c>
    </row>
    <row r="86" customFormat="false" ht="15" hidden="false" customHeight="false" outlineLevel="0" collapsed="false">
      <c r="A86" s="17" t="n">
        <v>1085</v>
      </c>
      <c r="B86" s="18" t="n">
        <v>45362</v>
      </c>
      <c r="C86" s="17" t="s">
        <v>20</v>
      </c>
      <c r="D86" s="17" t="s">
        <v>25</v>
      </c>
      <c r="E86" s="17" t="s">
        <v>38</v>
      </c>
      <c r="F86" s="17" t="s">
        <v>37</v>
      </c>
      <c r="G86" s="17" t="n">
        <v>2</v>
      </c>
      <c r="H86" s="19" t="n">
        <v>59.99</v>
      </c>
      <c r="I86" s="19" t="n">
        <f aca="false">G86*H86</f>
        <v>119.98</v>
      </c>
    </row>
    <row r="87" customFormat="false" ht="15" hidden="false" customHeight="false" outlineLevel="0" collapsed="false">
      <c r="A87" s="17" t="n">
        <v>1086</v>
      </c>
      <c r="B87" s="18" t="n">
        <v>45362</v>
      </c>
      <c r="C87" s="17" t="s">
        <v>34</v>
      </c>
      <c r="D87" s="17" t="s">
        <v>35</v>
      </c>
      <c r="E87" s="17" t="s">
        <v>41</v>
      </c>
      <c r="F87" s="17" t="s">
        <v>43</v>
      </c>
      <c r="G87" s="17" t="n">
        <v>1</v>
      </c>
      <c r="H87" s="19" t="n">
        <v>44.99</v>
      </c>
      <c r="I87" s="19" t="n">
        <f aca="false">G87*H87</f>
        <v>44.99</v>
      </c>
    </row>
    <row r="88" customFormat="false" ht="15" hidden="false" customHeight="false" outlineLevel="0" collapsed="false">
      <c r="A88" s="17" t="n">
        <v>1087</v>
      </c>
      <c r="B88" s="18" t="n">
        <v>45363</v>
      </c>
      <c r="C88" s="17" t="s">
        <v>31</v>
      </c>
      <c r="D88" s="17" t="s">
        <v>32</v>
      </c>
      <c r="E88" s="17" t="s">
        <v>42</v>
      </c>
      <c r="F88" s="17" t="s">
        <v>37</v>
      </c>
      <c r="G88" s="17" t="n">
        <v>8</v>
      </c>
      <c r="H88" s="19" t="n">
        <v>49.99</v>
      </c>
      <c r="I88" s="19" t="n">
        <f aca="false">G88*H88</f>
        <v>399.92</v>
      </c>
    </row>
    <row r="89" customFormat="false" ht="15" hidden="false" customHeight="false" outlineLevel="0" collapsed="false">
      <c r="A89" s="17" t="n">
        <v>1088</v>
      </c>
      <c r="B89" s="18" t="n">
        <v>45365</v>
      </c>
      <c r="C89" s="17" t="s">
        <v>34</v>
      </c>
      <c r="D89" s="17" t="s">
        <v>21</v>
      </c>
      <c r="E89" s="17" t="s">
        <v>22</v>
      </c>
      <c r="F89" s="17" t="s">
        <v>43</v>
      </c>
      <c r="G89" s="17" t="n">
        <v>3</v>
      </c>
      <c r="H89" s="19" t="n">
        <v>24.99</v>
      </c>
      <c r="I89" s="19" t="n">
        <f aca="false">G89*H89</f>
        <v>74.97</v>
      </c>
    </row>
    <row r="90" customFormat="false" ht="15" hidden="false" customHeight="false" outlineLevel="0" collapsed="false">
      <c r="A90" s="17" t="n">
        <v>1089</v>
      </c>
      <c r="B90" s="18" t="n">
        <v>45365</v>
      </c>
      <c r="C90" s="17" t="s">
        <v>24</v>
      </c>
      <c r="D90" s="17" t="s">
        <v>35</v>
      </c>
      <c r="E90" s="17" t="s">
        <v>45</v>
      </c>
      <c r="F90" s="17" t="s">
        <v>43</v>
      </c>
      <c r="G90" s="17" t="n">
        <v>8</v>
      </c>
      <c r="H90" s="19" t="n">
        <v>89.99</v>
      </c>
      <c r="I90" s="19" t="n">
        <f aca="false">G90*H90</f>
        <v>719.92</v>
      </c>
    </row>
    <row r="91" customFormat="false" ht="15" hidden="false" customHeight="false" outlineLevel="0" collapsed="false">
      <c r="A91" s="17" t="n">
        <v>1090</v>
      </c>
      <c r="B91" s="18" t="n">
        <v>45367</v>
      </c>
      <c r="C91" s="17" t="s">
        <v>31</v>
      </c>
      <c r="D91" s="17" t="s">
        <v>21</v>
      </c>
      <c r="E91" s="17" t="s">
        <v>22</v>
      </c>
      <c r="F91" s="17" t="s">
        <v>37</v>
      </c>
      <c r="G91" s="17" t="n">
        <v>3</v>
      </c>
      <c r="H91" s="19" t="n">
        <v>24.99</v>
      </c>
      <c r="I91" s="19" t="n">
        <f aca="false">G91*H91</f>
        <v>74.97</v>
      </c>
    </row>
    <row r="92" customFormat="false" ht="15" hidden="false" customHeight="false" outlineLevel="0" collapsed="false">
      <c r="A92" s="17" t="n">
        <v>1091</v>
      </c>
      <c r="B92" s="18" t="n">
        <v>45367</v>
      </c>
      <c r="C92" s="17" t="s">
        <v>31</v>
      </c>
      <c r="D92" s="17" t="s">
        <v>25</v>
      </c>
      <c r="E92" s="17" t="s">
        <v>44</v>
      </c>
      <c r="F92" s="17" t="s">
        <v>23</v>
      </c>
      <c r="G92" s="17" t="n">
        <v>5</v>
      </c>
      <c r="H92" s="19" t="n">
        <v>74.99</v>
      </c>
      <c r="I92" s="19" t="n">
        <f aca="false">G92*H92</f>
        <v>374.95</v>
      </c>
    </row>
    <row r="93" customFormat="false" ht="15" hidden="false" customHeight="false" outlineLevel="0" collapsed="false">
      <c r="A93" s="17" t="n">
        <v>1092</v>
      </c>
      <c r="B93" s="18" t="n">
        <v>45367</v>
      </c>
      <c r="C93" s="17" t="s">
        <v>24</v>
      </c>
      <c r="D93" s="17" t="s">
        <v>35</v>
      </c>
      <c r="E93" s="17" t="s">
        <v>45</v>
      </c>
      <c r="F93" s="17" t="s">
        <v>43</v>
      </c>
      <c r="G93" s="17" t="n">
        <v>5</v>
      </c>
      <c r="H93" s="19" t="n">
        <v>89.99</v>
      </c>
      <c r="I93" s="19" t="n">
        <f aca="false">G93*H93</f>
        <v>449.95</v>
      </c>
    </row>
    <row r="94" customFormat="false" ht="15" hidden="false" customHeight="false" outlineLevel="0" collapsed="false">
      <c r="A94" s="17" t="n">
        <v>1093</v>
      </c>
      <c r="B94" s="18" t="n">
        <v>45369</v>
      </c>
      <c r="C94" s="17" t="s">
        <v>31</v>
      </c>
      <c r="D94" s="17" t="s">
        <v>35</v>
      </c>
      <c r="E94" s="17" t="s">
        <v>36</v>
      </c>
      <c r="F94" s="17" t="s">
        <v>39</v>
      </c>
      <c r="G94" s="17" t="n">
        <v>8</v>
      </c>
      <c r="H94" s="19" t="n">
        <v>54.99</v>
      </c>
      <c r="I94" s="19" t="n">
        <f aca="false">G94*H94</f>
        <v>439.92</v>
      </c>
    </row>
    <row r="95" customFormat="false" ht="15" hidden="false" customHeight="false" outlineLevel="0" collapsed="false">
      <c r="A95" s="17" t="n">
        <v>1094</v>
      </c>
      <c r="B95" s="18" t="n">
        <v>45371</v>
      </c>
      <c r="C95" s="17" t="s">
        <v>31</v>
      </c>
      <c r="D95" s="17" t="s">
        <v>35</v>
      </c>
      <c r="E95" s="17" t="s">
        <v>45</v>
      </c>
      <c r="F95" s="17" t="s">
        <v>39</v>
      </c>
      <c r="G95" s="17" t="n">
        <v>10</v>
      </c>
      <c r="H95" s="19" t="n">
        <v>89.99</v>
      </c>
      <c r="I95" s="19" t="n">
        <f aca="false">G95*H95</f>
        <v>899.9</v>
      </c>
    </row>
    <row r="96" customFormat="false" ht="15" hidden="false" customHeight="false" outlineLevel="0" collapsed="false">
      <c r="A96" s="17" t="n">
        <v>1095</v>
      </c>
      <c r="B96" s="18" t="n">
        <v>45374</v>
      </c>
      <c r="C96" s="17" t="s">
        <v>34</v>
      </c>
      <c r="D96" s="17" t="s">
        <v>28</v>
      </c>
      <c r="E96" s="17" t="s">
        <v>29</v>
      </c>
      <c r="F96" s="17" t="s">
        <v>30</v>
      </c>
      <c r="G96" s="17" t="n">
        <v>12</v>
      </c>
      <c r="H96" s="19" t="n">
        <v>14.99</v>
      </c>
      <c r="I96" s="19" t="n">
        <f aca="false">G96*H96</f>
        <v>179.88</v>
      </c>
    </row>
    <row r="97" customFormat="false" ht="15" hidden="false" customHeight="false" outlineLevel="0" collapsed="false">
      <c r="A97" s="17" t="n">
        <v>1096</v>
      </c>
      <c r="B97" s="18" t="n">
        <v>45375</v>
      </c>
      <c r="C97" s="17" t="s">
        <v>34</v>
      </c>
      <c r="D97" s="17" t="s">
        <v>35</v>
      </c>
      <c r="E97" s="17" t="s">
        <v>36</v>
      </c>
      <c r="F97" s="17" t="s">
        <v>37</v>
      </c>
      <c r="G97" s="17" t="n">
        <v>11</v>
      </c>
      <c r="H97" s="19" t="n">
        <v>54.99</v>
      </c>
      <c r="I97" s="19" t="n">
        <f aca="false">G97*H97</f>
        <v>604.89</v>
      </c>
    </row>
    <row r="98" customFormat="false" ht="15" hidden="false" customHeight="false" outlineLevel="0" collapsed="false">
      <c r="A98" s="17" t="n">
        <v>1097</v>
      </c>
      <c r="B98" s="18" t="n">
        <v>45376</v>
      </c>
      <c r="C98" s="17" t="s">
        <v>31</v>
      </c>
      <c r="D98" s="17" t="s">
        <v>35</v>
      </c>
      <c r="E98" s="17" t="s">
        <v>45</v>
      </c>
      <c r="F98" s="17" t="s">
        <v>39</v>
      </c>
      <c r="G98" s="17" t="n">
        <v>5</v>
      </c>
      <c r="H98" s="19" t="n">
        <v>89.99</v>
      </c>
      <c r="I98" s="19" t="n">
        <f aca="false">G98*H98</f>
        <v>449.95</v>
      </c>
    </row>
    <row r="99" customFormat="false" ht="15" hidden="false" customHeight="false" outlineLevel="0" collapsed="false">
      <c r="A99" s="17" t="n">
        <v>1098</v>
      </c>
      <c r="B99" s="18" t="n">
        <v>45378</v>
      </c>
      <c r="C99" s="17" t="s">
        <v>31</v>
      </c>
      <c r="D99" s="17" t="s">
        <v>21</v>
      </c>
      <c r="E99" s="17" t="s">
        <v>40</v>
      </c>
      <c r="F99" s="17" t="s">
        <v>37</v>
      </c>
      <c r="G99" s="17" t="n">
        <v>9</v>
      </c>
      <c r="H99" s="19" t="n">
        <v>69.99</v>
      </c>
      <c r="I99" s="19" t="n">
        <f aca="false">G99*H99</f>
        <v>629.91</v>
      </c>
    </row>
    <row r="100" customFormat="false" ht="15" hidden="false" customHeight="false" outlineLevel="0" collapsed="false">
      <c r="A100" s="17" t="n">
        <v>1099</v>
      </c>
      <c r="B100" s="18" t="n">
        <v>45380</v>
      </c>
      <c r="C100" s="17" t="s">
        <v>31</v>
      </c>
      <c r="D100" s="17" t="s">
        <v>35</v>
      </c>
      <c r="E100" s="17" t="s">
        <v>41</v>
      </c>
      <c r="F100" s="17" t="s">
        <v>23</v>
      </c>
      <c r="G100" s="17" t="n">
        <v>1</v>
      </c>
      <c r="H100" s="19" t="n">
        <v>44.99</v>
      </c>
      <c r="I100" s="19" t="n">
        <f aca="false">G100*H100</f>
        <v>44.99</v>
      </c>
    </row>
    <row r="101" customFormat="false" ht="15" hidden="false" customHeight="false" outlineLevel="0" collapsed="false">
      <c r="A101" s="17" t="n">
        <v>1100</v>
      </c>
      <c r="B101" s="18" t="n">
        <v>45380</v>
      </c>
      <c r="C101" s="17" t="s">
        <v>24</v>
      </c>
      <c r="D101" s="17" t="s">
        <v>32</v>
      </c>
      <c r="E101" s="17" t="s">
        <v>42</v>
      </c>
      <c r="F101" s="17" t="s">
        <v>27</v>
      </c>
      <c r="G101" s="17" t="n">
        <v>8</v>
      </c>
      <c r="H101" s="19" t="n">
        <v>49.99</v>
      </c>
      <c r="I101" s="19" t="n">
        <f aca="false">G101*H101</f>
        <v>399.92</v>
      </c>
    </row>
    <row r="102" customFormat="false" ht="15" hidden="false" customHeight="false" outlineLevel="0" collapsed="false">
      <c r="A102" s="17" t="n">
        <v>1101</v>
      </c>
      <c r="B102" s="18" t="n">
        <v>45381</v>
      </c>
      <c r="C102" s="17" t="s">
        <v>34</v>
      </c>
      <c r="D102" s="17" t="s">
        <v>35</v>
      </c>
      <c r="E102" s="17" t="s">
        <v>36</v>
      </c>
      <c r="F102" s="17" t="s">
        <v>37</v>
      </c>
      <c r="G102" s="17" t="n">
        <v>3</v>
      </c>
      <c r="H102" s="19" t="n">
        <v>54.99</v>
      </c>
      <c r="I102" s="19" t="n">
        <f aca="false">G102*H102</f>
        <v>164.97</v>
      </c>
    </row>
    <row r="103" customFormat="false" ht="15" hidden="false" customHeight="false" outlineLevel="0" collapsed="false">
      <c r="A103" s="17" t="n">
        <v>1102</v>
      </c>
      <c r="B103" s="18" t="n">
        <v>45382</v>
      </c>
      <c r="C103" s="17" t="s">
        <v>34</v>
      </c>
      <c r="D103" s="17" t="s">
        <v>28</v>
      </c>
      <c r="E103" s="17" t="s">
        <v>29</v>
      </c>
      <c r="F103" s="17" t="s">
        <v>43</v>
      </c>
      <c r="G103" s="17" t="n">
        <v>9</v>
      </c>
      <c r="H103" s="19" t="n">
        <v>14.99</v>
      </c>
      <c r="I103" s="19" t="n">
        <f aca="false">G103*H103</f>
        <v>134.91</v>
      </c>
    </row>
    <row r="104" customFormat="false" ht="15" hidden="false" customHeight="false" outlineLevel="0" collapsed="false">
      <c r="A104" s="17" t="n">
        <v>1103</v>
      </c>
      <c r="B104" s="18" t="n">
        <v>45382</v>
      </c>
      <c r="C104" s="17" t="s">
        <v>31</v>
      </c>
      <c r="D104" s="17" t="s">
        <v>35</v>
      </c>
      <c r="E104" s="17" t="s">
        <v>45</v>
      </c>
      <c r="F104" s="17" t="s">
        <v>23</v>
      </c>
      <c r="G104" s="17" t="n">
        <v>12</v>
      </c>
      <c r="H104" s="19" t="n">
        <v>89.99</v>
      </c>
      <c r="I104" s="19" t="n">
        <f aca="false">G104*H104</f>
        <v>1079.88</v>
      </c>
    </row>
    <row r="105" customFormat="false" ht="15" hidden="false" customHeight="false" outlineLevel="0" collapsed="false">
      <c r="A105" s="17" t="n">
        <v>1104</v>
      </c>
      <c r="B105" s="18" t="n">
        <v>45382</v>
      </c>
      <c r="C105" s="17" t="s">
        <v>34</v>
      </c>
      <c r="D105" s="17" t="s">
        <v>21</v>
      </c>
      <c r="E105" s="17" t="s">
        <v>40</v>
      </c>
      <c r="F105" s="17" t="s">
        <v>39</v>
      </c>
      <c r="G105" s="17" t="n">
        <v>10</v>
      </c>
      <c r="H105" s="19" t="n">
        <v>69.99</v>
      </c>
      <c r="I105" s="19" t="n">
        <f aca="false">G105*H105</f>
        <v>699.9</v>
      </c>
    </row>
    <row r="106" customFormat="false" ht="15" hidden="false" customHeight="false" outlineLevel="0" collapsed="false">
      <c r="A106" s="17" t="n">
        <v>1105</v>
      </c>
      <c r="B106" s="18" t="n">
        <v>45387</v>
      </c>
      <c r="C106" s="17" t="s">
        <v>34</v>
      </c>
      <c r="D106" s="17" t="s">
        <v>35</v>
      </c>
      <c r="E106" s="17" t="s">
        <v>36</v>
      </c>
      <c r="F106" s="17" t="s">
        <v>37</v>
      </c>
      <c r="G106" s="17" t="n">
        <v>9</v>
      </c>
      <c r="H106" s="19" t="n">
        <v>54.99</v>
      </c>
      <c r="I106" s="19" t="n">
        <f aca="false">G106*H106</f>
        <v>494.91</v>
      </c>
    </row>
    <row r="107" customFormat="false" ht="15" hidden="false" customHeight="false" outlineLevel="0" collapsed="false">
      <c r="A107" s="17" t="n">
        <v>1106</v>
      </c>
      <c r="B107" s="18" t="n">
        <v>45390</v>
      </c>
      <c r="C107" s="17" t="s">
        <v>24</v>
      </c>
      <c r="D107" s="17" t="s">
        <v>25</v>
      </c>
      <c r="E107" s="17" t="s">
        <v>44</v>
      </c>
      <c r="F107" s="17" t="s">
        <v>23</v>
      </c>
      <c r="G107" s="17" t="n">
        <v>2</v>
      </c>
      <c r="H107" s="19" t="n">
        <v>74.99</v>
      </c>
      <c r="I107" s="19" t="n">
        <f aca="false">G107*H107</f>
        <v>149.98</v>
      </c>
    </row>
    <row r="108" customFormat="false" ht="15" hidden="false" customHeight="false" outlineLevel="0" collapsed="false">
      <c r="A108" s="17" t="n">
        <v>1107</v>
      </c>
      <c r="B108" s="18" t="n">
        <v>45391</v>
      </c>
      <c r="C108" s="17" t="s">
        <v>20</v>
      </c>
      <c r="D108" s="17" t="s">
        <v>25</v>
      </c>
      <c r="E108" s="17" t="s">
        <v>26</v>
      </c>
      <c r="F108" s="17" t="s">
        <v>27</v>
      </c>
      <c r="G108" s="17" t="n">
        <v>11</v>
      </c>
      <c r="H108" s="19" t="n">
        <v>19.99</v>
      </c>
      <c r="I108" s="19" t="n">
        <f aca="false">G108*H108</f>
        <v>219.89</v>
      </c>
    </row>
    <row r="109" customFormat="false" ht="15" hidden="false" customHeight="false" outlineLevel="0" collapsed="false">
      <c r="A109" s="17" t="n">
        <v>1108</v>
      </c>
      <c r="B109" s="18" t="n">
        <v>45393</v>
      </c>
      <c r="C109" s="17" t="s">
        <v>24</v>
      </c>
      <c r="D109" s="17" t="s">
        <v>32</v>
      </c>
      <c r="E109" s="17" t="s">
        <v>46</v>
      </c>
      <c r="F109" s="17" t="s">
        <v>27</v>
      </c>
      <c r="G109" s="17" t="n">
        <v>2</v>
      </c>
      <c r="H109" s="19" t="n">
        <v>129.99</v>
      </c>
      <c r="I109" s="19" t="n">
        <f aca="false">G109*H109</f>
        <v>259.98</v>
      </c>
    </row>
    <row r="110" customFormat="false" ht="15" hidden="false" customHeight="false" outlineLevel="0" collapsed="false">
      <c r="A110" s="17" t="n">
        <v>1109</v>
      </c>
      <c r="B110" s="18" t="n">
        <v>45394</v>
      </c>
      <c r="C110" s="17" t="s">
        <v>20</v>
      </c>
      <c r="D110" s="17" t="s">
        <v>35</v>
      </c>
      <c r="E110" s="17" t="s">
        <v>36</v>
      </c>
      <c r="F110" s="17" t="s">
        <v>37</v>
      </c>
      <c r="G110" s="17" t="n">
        <v>4</v>
      </c>
      <c r="H110" s="19" t="n">
        <v>54.99</v>
      </c>
      <c r="I110" s="19" t="n">
        <f aca="false">G110*H110</f>
        <v>219.96</v>
      </c>
    </row>
    <row r="111" customFormat="false" ht="15" hidden="false" customHeight="false" outlineLevel="0" collapsed="false">
      <c r="A111" s="17" t="n">
        <v>1110</v>
      </c>
      <c r="B111" s="18" t="n">
        <v>45394</v>
      </c>
      <c r="C111" s="17" t="s">
        <v>20</v>
      </c>
      <c r="D111" s="17" t="s">
        <v>32</v>
      </c>
      <c r="E111" s="17" t="s">
        <v>42</v>
      </c>
      <c r="F111" s="17" t="s">
        <v>37</v>
      </c>
      <c r="G111" s="17" t="n">
        <v>9</v>
      </c>
      <c r="H111" s="19" t="n">
        <v>49.99</v>
      </c>
      <c r="I111" s="19" t="n">
        <f aca="false">G111*H111</f>
        <v>449.91</v>
      </c>
    </row>
    <row r="112" customFormat="false" ht="15" hidden="false" customHeight="false" outlineLevel="0" collapsed="false">
      <c r="A112" s="17" t="n">
        <v>1111</v>
      </c>
      <c r="B112" s="18" t="n">
        <v>45394</v>
      </c>
      <c r="C112" s="17" t="s">
        <v>20</v>
      </c>
      <c r="D112" s="17" t="s">
        <v>28</v>
      </c>
      <c r="E112" s="17" t="s">
        <v>29</v>
      </c>
      <c r="F112" s="17" t="s">
        <v>39</v>
      </c>
      <c r="G112" s="17" t="n">
        <v>11</v>
      </c>
      <c r="H112" s="19" t="n">
        <v>14.99</v>
      </c>
      <c r="I112" s="19" t="n">
        <f aca="false">G112*H112</f>
        <v>164.89</v>
      </c>
    </row>
    <row r="113" customFormat="false" ht="15" hidden="false" customHeight="false" outlineLevel="0" collapsed="false">
      <c r="A113" s="17" t="n">
        <v>1112</v>
      </c>
      <c r="B113" s="18" t="n">
        <v>45394</v>
      </c>
      <c r="C113" s="17" t="s">
        <v>24</v>
      </c>
      <c r="D113" s="17" t="s">
        <v>32</v>
      </c>
      <c r="E113" s="17" t="s">
        <v>42</v>
      </c>
      <c r="F113" s="17" t="s">
        <v>23</v>
      </c>
      <c r="G113" s="17" t="n">
        <v>3</v>
      </c>
      <c r="H113" s="19" t="n">
        <v>49.99</v>
      </c>
      <c r="I113" s="19" t="n">
        <f aca="false">G113*H113</f>
        <v>149.97</v>
      </c>
    </row>
    <row r="114" customFormat="false" ht="15" hidden="false" customHeight="false" outlineLevel="0" collapsed="false">
      <c r="A114" s="17" t="n">
        <v>1113</v>
      </c>
      <c r="B114" s="18" t="n">
        <v>45397</v>
      </c>
      <c r="C114" s="17" t="s">
        <v>34</v>
      </c>
      <c r="D114" s="17" t="s">
        <v>35</v>
      </c>
      <c r="E114" s="17" t="s">
        <v>45</v>
      </c>
      <c r="F114" s="17" t="s">
        <v>30</v>
      </c>
      <c r="G114" s="17" t="n">
        <v>12</v>
      </c>
      <c r="H114" s="19" t="n">
        <v>89.99</v>
      </c>
      <c r="I114" s="19" t="n">
        <f aca="false">G114*H114</f>
        <v>1079.88</v>
      </c>
    </row>
    <row r="115" customFormat="false" ht="15" hidden="false" customHeight="false" outlineLevel="0" collapsed="false">
      <c r="A115" s="17" t="n">
        <v>1114</v>
      </c>
      <c r="B115" s="18" t="n">
        <v>45398</v>
      </c>
      <c r="C115" s="17" t="s">
        <v>24</v>
      </c>
      <c r="D115" s="17" t="s">
        <v>21</v>
      </c>
      <c r="E115" s="17" t="s">
        <v>22</v>
      </c>
      <c r="F115" s="17" t="s">
        <v>23</v>
      </c>
      <c r="G115" s="17" t="n">
        <v>6</v>
      </c>
      <c r="H115" s="19" t="n">
        <v>24.99</v>
      </c>
      <c r="I115" s="19" t="n">
        <f aca="false">G115*H115</f>
        <v>149.94</v>
      </c>
    </row>
    <row r="116" customFormat="false" ht="15" hidden="false" customHeight="false" outlineLevel="0" collapsed="false">
      <c r="A116" s="17" t="n">
        <v>1115</v>
      </c>
      <c r="B116" s="18" t="n">
        <v>45399</v>
      </c>
      <c r="C116" s="17" t="s">
        <v>20</v>
      </c>
      <c r="D116" s="17" t="s">
        <v>35</v>
      </c>
      <c r="E116" s="17" t="s">
        <v>45</v>
      </c>
      <c r="F116" s="17" t="s">
        <v>39</v>
      </c>
      <c r="G116" s="17" t="n">
        <v>8</v>
      </c>
      <c r="H116" s="19" t="n">
        <v>89.99</v>
      </c>
      <c r="I116" s="19" t="n">
        <f aca="false">G116*H116</f>
        <v>719.92</v>
      </c>
    </row>
    <row r="117" customFormat="false" ht="15" hidden="false" customHeight="false" outlineLevel="0" collapsed="false">
      <c r="A117" s="17" t="n">
        <v>1116</v>
      </c>
      <c r="B117" s="18" t="n">
        <v>45403</v>
      </c>
      <c r="C117" s="17" t="s">
        <v>34</v>
      </c>
      <c r="D117" s="17" t="s">
        <v>35</v>
      </c>
      <c r="E117" s="17" t="s">
        <v>36</v>
      </c>
      <c r="F117" s="17" t="s">
        <v>23</v>
      </c>
      <c r="G117" s="17" t="n">
        <v>6</v>
      </c>
      <c r="H117" s="19" t="n">
        <v>54.99</v>
      </c>
      <c r="I117" s="19" t="n">
        <f aca="false">G117*H117</f>
        <v>329.94</v>
      </c>
    </row>
    <row r="118" customFormat="false" ht="15" hidden="false" customHeight="false" outlineLevel="0" collapsed="false">
      <c r="A118" s="17" t="n">
        <v>1117</v>
      </c>
      <c r="B118" s="18" t="n">
        <v>45404</v>
      </c>
      <c r="C118" s="17" t="s">
        <v>24</v>
      </c>
      <c r="D118" s="17" t="s">
        <v>21</v>
      </c>
      <c r="E118" s="17" t="s">
        <v>40</v>
      </c>
      <c r="F118" s="17" t="s">
        <v>30</v>
      </c>
      <c r="G118" s="17" t="n">
        <v>5</v>
      </c>
      <c r="H118" s="19" t="n">
        <v>69.99</v>
      </c>
      <c r="I118" s="19" t="n">
        <f aca="false">G118*H118</f>
        <v>349.95</v>
      </c>
    </row>
    <row r="119" customFormat="false" ht="15" hidden="false" customHeight="false" outlineLevel="0" collapsed="false">
      <c r="A119" s="17" t="n">
        <v>1118</v>
      </c>
      <c r="B119" s="18" t="n">
        <v>45405</v>
      </c>
      <c r="C119" s="17" t="s">
        <v>24</v>
      </c>
      <c r="D119" s="17" t="s">
        <v>35</v>
      </c>
      <c r="E119" s="17" t="s">
        <v>45</v>
      </c>
      <c r="F119" s="17" t="s">
        <v>37</v>
      </c>
      <c r="G119" s="17" t="n">
        <v>11</v>
      </c>
      <c r="H119" s="19" t="n">
        <v>89.99</v>
      </c>
      <c r="I119" s="19" t="n">
        <f aca="false">G119*H119</f>
        <v>989.89</v>
      </c>
    </row>
    <row r="120" customFormat="false" ht="15" hidden="false" customHeight="false" outlineLevel="0" collapsed="false">
      <c r="A120" s="17" t="n">
        <v>1119</v>
      </c>
      <c r="B120" s="18" t="n">
        <v>45405</v>
      </c>
      <c r="C120" s="17" t="s">
        <v>20</v>
      </c>
      <c r="D120" s="17" t="s">
        <v>35</v>
      </c>
      <c r="E120" s="17" t="s">
        <v>36</v>
      </c>
      <c r="F120" s="17" t="s">
        <v>43</v>
      </c>
      <c r="G120" s="17" t="n">
        <v>7</v>
      </c>
      <c r="H120" s="19" t="n">
        <v>54.99</v>
      </c>
      <c r="I120" s="19" t="n">
        <f aca="false">G120*H120</f>
        <v>384.93</v>
      </c>
    </row>
    <row r="121" customFormat="false" ht="15" hidden="false" customHeight="false" outlineLevel="0" collapsed="false">
      <c r="A121" s="17" t="n">
        <v>1120</v>
      </c>
      <c r="B121" s="18" t="n">
        <v>45405</v>
      </c>
      <c r="C121" s="17" t="s">
        <v>31</v>
      </c>
      <c r="D121" s="17" t="s">
        <v>21</v>
      </c>
      <c r="E121" s="17" t="s">
        <v>22</v>
      </c>
      <c r="F121" s="17" t="s">
        <v>27</v>
      </c>
      <c r="G121" s="17" t="n">
        <v>11</v>
      </c>
      <c r="H121" s="19" t="n">
        <v>24.99</v>
      </c>
      <c r="I121" s="19" t="n">
        <f aca="false">G121*H121</f>
        <v>274.89</v>
      </c>
    </row>
    <row r="122" customFormat="false" ht="15" hidden="false" customHeight="false" outlineLevel="0" collapsed="false">
      <c r="A122" s="17" t="n">
        <v>1121</v>
      </c>
      <c r="B122" s="18" t="n">
        <v>45406</v>
      </c>
      <c r="C122" s="17" t="s">
        <v>24</v>
      </c>
      <c r="D122" s="17" t="s">
        <v>32</v>
      </c>
      <c r="E122" s="17" t="s">
        <v>42</v>
      </c>
      <c r="F122" s="17" t="s">
        <v>39</v>
      </c>
      <c r="G122" s="17" t="n">
        <v>6</v>
      </c>
      <c r="H122" s="19" t="n">
        <v>49.99</v>
      </c>
      <c r="I122" s="19" t="n">
        <f aca="false">G122*H122</f>
        <v>299.94</v>
      </c>
    </row>
    <row r="123" customFormat="false" ht="15" hidden="false" customHeight="false" outlineLevel="0" collapsed="false">
      <c r="A123" s="17" t="n">
        <v>1122</v>
      </c>
      <c r="B123" s="18" t="n">
        <v>45406</v>
      </c>
      <c r="C123" s="17" t="s">
        <v>31</v>
      </c>
      <c r="D123" s="17" t="s">
        <v>32</v>
      </c>
      <c r="E123" s="17" t="s">
        <v>46</v>
      </c>
      <c r="F123" s="17" t="s">
        <v>27</v>
      </c>
      <c r="G123" s="17" t="n">
        <v>12</v>
      </c>
      <c r="H123" s="19" t="n">
        <v>129.99</v>
      </c>
      <c r="I123" s="19" t="n">
        <f aca="false">G123*H123</f>
        <v>1559.88</v>
      </c>
    </row>
    <row r="124" customFormat="false" ht="15" hidden="false" customHeight="false" outlineLevel="0" collapsed="false">
      <c r="A124" s="17" t="n">
        <v>1123</v>
      </c>
      <c r="B124" s="18" t="n">
        <v>45407</v>
      </c>
      <c r="C124" s="17" t="s">
        <v>34</v>
      </c>
      <c r="D124" s="17" t="s">
        <v>21</v>
      </c>
      <c r="E124" s="17" t="s">
        <v>40</v>
      </c>
      <c r="F124" s="17" t="s">
        <v>30</v>
      </c>
      <c r="G124" s="17" t="n">
        <v>6</v>
      </c>
      <c r="H124" s="19" t="n">
        <v>69.99</v>
      </c>
      <c r="I124" s="19" t="n">
        <f aca="false">G124*H124</f>
        <v>419.94</v>
      </c>
    </row>
    <row r="125" customFormat="false" ht="15" hidden="false" customHeight="false" outlineLevel="0" collapsed="false">
      <c r="A125" s="17" t="n">
        <v>1124</v>
      </c>
      <c r="B125" s="18" t="n">
        <v>45408</v>
      </c>
      <c r="C125" s="17" t="s">
        <v>20</v>
      </c>
      <c r="D125" s="17" t="s">
        <v>35</v>
      </c>
      <c r="E125" s="17" t="s">
        <v>45</v>
      </c>
      <c r="F125" s="17" t="s">
        <v>39</v>
      </c>
      <c r="G125" s="17" t="n">
        <v>7</v>
      </c>
      <c r="H125" s="19" t="n">
        <v>89.99</v>
      </c>
      <c r="I125" s="19" t="n">
        <f aca="false">G125*H125</f>
        <v>629.93</v>
      </c>
    </row>
    <row r="126" customFormat="false" ht="15" hidden="false" customHeight="false" outlineLevel="0" collapsed="false">
      <c r="A126" s="17" t="n">
        <v>1125</v>
      </c>
      <c r="B126" s="18" t="n">
        <v>45410</v>
      </c>
      <c r="C126" s="17" t="s">
        <v>20</v>
      </c>
      <c r="D126" s="17" t="s">
        <v>25</v>
      </c>
      <c r="E126" s="17" t="s">
        <v>38</v>
      </c>
      <c r="F126" s="17" t="s">
        <v>27</v>
      </c>
      <c r="G126" s="17" t="n">
        <v>8</v>
      </c>
      <c r="H126" s="19" t="n">
        <v>59.99</v>
      </c>
      <c r="I126" s="19" t="n">
        <f aca="false">G126*H126</f>
        <v>479.92</v>
      </c>
    </row>
    <row r="127" customFormat="false" ht="15" hidden="false" customHeight="false" outlineLevel="0" collapsed="false">
      <c r="A127" s="17" t="n">
        <v>1126</v>
      </c>
      <c r="B127" s="18" t="n">
        <v>45412</v>
      </c>
      <c r="C127" s="17" t="s">
        <v>20</v>
      </c>
      <c r="D127" s="17" t="s">
        <v>21</v>
      </c>
      <c r="E127" s="17" t="s">
        <v>40</v>
      </c>
      <c r="F127" s="17" t="s">
        <v>23</v>
      </c>
      <c r="G127" s="17" t="n">
        <v>12</v>
      </c>
      <c r="H127" s="19" t="n">
        <v>69.99</v>
      </c>
      <c r="I127" s="19" t="n">
        <f aca="false">G127*H127</f>
        <v>839.88</v>
      </c>
    </row>
    <row r="128" customFormat="false" ht="15" hidden="false" customHeight="false" outlineLevel="0" collapsed="false">
      <c r="A128" s="17" t="n">
        <v>1127</v>
      </c>
      <c r="B128" s="18" t="n">
        <v>45412</v>
      </c>
      <c r="C128" s="17" t="s">
        <v>20</v>
      </c>
      <c r="D128" s="17" t="s">
        <v>25</v>
      </c>
      <c r="E128" s="17" t="s">
        <v>38</v>
      </c>
      <c r="F128" s="17" t="s">
        <v>37</v>
      </c>
      <c r="G128" s="17" t="n">
        <v>9</v>
      </c>
      <c r="H128" s="19" t="n">
        <v>59.99</v>
      </c>
      <c r="I128" s="19" t="n">
        <f aca="false">G128*H128</f>
        <v>539.91</v>
      </c>
    </row>
    <row r="129" customFormat="false" ht="15" hidden="false" customHeight="false" outlineLevel="0" collapsed="false">
      <c r="A129" s="17" t="n">
        <v>1128</v>
      </c>
      <c r="B129" s="18" t="n">
        <v>45413</v>
      </c>
      <c r="C129" s="17" t="s">
        <v>20</v>
      </c>
      <c r="D129" s="17" t="s">
        <v>21</v>
      </c>
      <c r="E129" s="17" t="s">
        <v>22</v>
      </c>
      <c r="F129" s="17" t="s">
        <v>43</v>
      </c>
      <c r="G129" s="17" t="n">
        <v>3</v>
      </c>
      <c r="H129" s="19" t="n">
        <v>24.99</v>
      </c>
      <c r="I129" s="19" t="n">
        <f aca="false">G129*H129</f>
        <v>74.97</v>
      </c>
    </row>
    <row r="130" customFormat="false" ht="15" hidden="false" customHeight="false" outlineLevel="0" collapsed="false">
      <c r="A130" s="17" t="n">
        <v>1129</v>
      </c>
      <c r="B130" s="18" t="n">
        <v>45414</v>
      </c>
      <c r="C130" s="17" t="s">
        <v>34</v>
      </c>
      <c r="D130" s="17" t="s">
        <v>25</v>
      </c>
      <c r="E130" s="17" t="s">
        <v>38</v>
      </c>
      <c r="F130" s="17" t="s">
        <v>23</v>
      </c>
      <c r="G130" s="17" t="n">
        <v>6</v>
      </c>
      <c r="H130" s="19" t="n">
        <v>59.99</v>
      </c>
      <c r="I130" s="19" t="n">
        <f aca="false">G130*H130</f>
        <v>359.94</v>
      </c>
    </row>
    <row r="131" customFormat="false" ht="15" hidden="false" customHeight="false" outlineLevel="0" collapsed="false">
      <c r="A131" s="17" t="n">
        <v>1130</v>
      </c>
      <c r="B131" s="18" t="n">
        <v>45415</v>
      </c>
      <c r="C131" s="17" t="s">
        <v>24</v>
      </c>
      <c r="D131" s="17" t="s">
        <v>35</v>
      </c>
      <c r="E131" s="17" t="s">
        <v>36</v>
      </c>
      <c r="F131" s="17" t="s">
        <v>23</v>
      </c>
      <c r="G131" s="17" t="n">
        <v>8</v>
      </c>
      <c r="H131" s="19" t="n">
        <v>54.99</v>
      </c>
      <c r="I131" s="19" t="n">
        <f aca="false">G131*H131</f>
        <v>439.92</v>
      </c>
    </row>
    <row r="132" customFormat="false" ht="15" hidden="false" customHeight="false" outlineLevel="0" collapsed="false">
      <c r="A132" s="17" t="n">
        <v>1131</v>
      </c>
      <c r="B132" s="18" t="n">
        <v>45415</v>
      </c>
      <c r="C132" s="17" t="s">
        <v>31</v>
      </c>
      <c r="D132" s="17" t="s">
        <v>21</v>
      </c>
      <c r="E132" s="17" t="s">
        <v>22</v>
      </c>
      <c r="F132" s="17" t="s">
        <v>43</v>
      </c>
      <c r="G132" s="17" t="n">
        <v>12</v>
      </c>
      <c r="H132" s="19" t="n">
        <v>24.99</v>
      </c>
      <c r="I132" s="19" t="n">
        <f aca="false">G132*H132</f>
        <v>299.88</v>
      </c>
    </row>
    <row r="133" customFormat="false" ht="15" hidden="false" customHeight="false" outlineLevel="0" collapsed="false">
      <c r="A133" s="17" t="n">
        <v>1132</v>
      </c>
      <c r="B133" s="18" t="n">
        <v>45415</v>
      </c>
      <c r="C133" s="17" t="s">
        <v>34</v>
      </c>
      <c r="D133" s="17" t="s">
        <v>28</v>
      </c>
      <c r="E133" s="17" t="s">
        <v>29</v>
      </c>
      <c r="F133" s="17" t="s">
        <v>27</v>
      </c>
      <c r="G133" s="17" t="n">
        <v>12</v>
      </c>
      <c r="H133" s="19" t="n">
        <v>14.99</v>
      </c>
      <c r="I133" s="19" t="n">
        <f aca="false">G133*H133</f>
        <v>179.88</v>
      </c>
    </row>
    <row r="134" customFormat="false" ht="15" hidden="false" customHeight="false" outlineLevel="0" collapsed="false">
      <c r="A134" s="17" t="n">
        <v>1133</v>
      </c>
      <c r="B134" s="18" t="n">
        <v>45418</v>
      </c>
      <c r="C134" s="17" t="s">
        <v>31</v>
      </c>
      <c r="D134" s="17" t="s">
        <v>25</v>
      </c>
      <c r="E134" s="17" t="s">
        <v>44</v>
      </c>
      <c r="F134" s="17" t="s">
        <v>37</v>
      </c>
      <c r="G134" s="17" t="n">
        <v>1</v>
      </c>
      <c r="H134" s="19" t="n">
        <v>74.99</v>
      </c>
      <c r="I134" s="19" t="n">
        <f aca="false">G134*H134</f>
        <v>74.99</v>
      </c>
    </row>
    <row r="135" customFormat="false" ht="15" hidden="false" customHeight="false" outlineLevel="0" collapsed="false">
      <c r="A135" s="17" t="n">
        <v>1134</v>
      </c>
      <c r="B135" s="18" t="n">
        <v>45419</v>
      </c>
      <c r="C135" s="17" t="s">
        <v>31</v>
      </c>
      <c r="D135" s="17" t="s">
        <v>21</v>
      </c>
      <c r="E135" s="17" t="s">
        <v>40</v>
      </c>
      <c r="F135" s="17" t="s">
        <v>37</v>
      </c>
      <c r="G135" s="17" t="n">
        <v>9</v>
      </c>
      <c r="H135" s="19" t="n">
        <v>69.99</v>
      </c>
      <c r="I135" s="19" t="n">
        <f aca="false">G135*H135</f>
        <v>629.91</v>
      </c>
    </row>
    <row r="136" customFormat="false" ht="15" hidden="false" customHeight="false" outlineLevel="0" collapsed="false">
      <c r="A136" s="17" t="n">
        <v>1135</v>
      </c>
      <c r="B136" s="18" t="n">
        <v>45419</v>
      </c>
      <c r="C136" s="17" t="s">
        <v>34</v>
      </c>
      <c r="D136" s="17" t="s">
        <v>32</v>
      </c>
      <c r="E136" s="17" t="s">
        <v>33</v>
      </c>
      <c r="F136" s="17" t="s">
        <v>23</v>
      </c>
      <c r="G136" s="17" t="n">
        <v>8</v>
      </c>
      <c r="H136" s="19" t="n">
        <v>39.99</v>
      </c>
      <c r="I136" s="19" t="n">
        <f aca="false">G136*H136</f>
        <v>319.92</v>
      </c>
    </row>
    <row r="137" customFormat="false" ht="15" hidden="false" customHeight="false" outlineLevel="0" collapsed="false">
      <c r="A137" s="17" t="n">
        <v>1136</v>
      </c>
      <c r="B137" s="18" t="n">
        <v>45421</v>
      </c>
      <c r="C137" s="17" t="s">
        <v>34</v>
      </c>
      <c r="D137" s="17" t="s">
        <v>32</v>
      </c>
      <c r="E137" s="17" t="s">
        <v>33</v>
      </c>
      <c r="F137" s="17" t="s">
        <v>43</v>
      </c>
      <c r="G137" s="17" t="n">
        <v>12</v>
      </c>
      <c r="H137" s="19" t="n">
        <v>39.99</v>
      </c>
      <c r="I137" s="19" t="n">
        <f aca="false">G137*H137</f>
        <v>479.88</v>
      </c>
    </row>
    <row r="138" customFormat="false" ht="15" hidden="false" customHeight="false" outlineLevel="0" collapsed="false">
      <c r="A138" s="17" t="n">
        <v>1137</v>
      </c>
      <c r="B138" s="18" t="n">
        <v>45422</v>
      </c>
      <c r="C138" s="17" t="s">
        <v>34</v>
      </c>
      <c r="D138" s="17" t="s">
        <v>32</v>
      </c>
      <c r="E138" s="17" t="s">
        <v>42</v>
      </c>
      <c r="F138" s="17" t="s">
        <v>43</v>
      </c>
      <c r="G138" s="17" t="n">
        <v>9</v>
      </c>
      <c r="H138" s="19" t="n">
        <v>49.99</v>
      </c>
      <c r="I138" s="19" t="n">
        <f aca="false">G138*H138</f>
        <v>449.91</v>
      </c>
    </row>
    <row r="139" customFormat="false" ht="15" hidden="false" customHeight="false" outlineLevel="0" collapsed="false">
      <c r="A139" s="17" t="n">
        <v>1138</v>
      </c>
      <c r="B139" s="18" t="n">
        <v>45424</v>
      </c>
      <c r="C139" s="17" t="s">
        <v>20</v>
      </c>
      <c r="D139" s="17" t="s">
        <v>25</v>
      </c>
      <c r="E139" s="17" t="s">
        <v>26</v>
      </c>
      <c r="F139" s="17" t="s">
        <v>30</v>
      </c>
      <c r="G139" s="17" t="n">
        <v>12</v>
      </c>
      <c r="H139" s="19" t="n">
        <v>19.99</v>
      </c>
      <c r="I139" s="19" t="n">
        <f aca="false">G139*H139</f>
        <v>239.88</v>
      </c>
    </row>
    <row r="140" customFormat="false" ht="15" hidden="false" customHeight="false" outlineLevel="0" collapsed="false">
      <c r="A140" s="17" t="n">
        <v>1139</v>
      </c>
      <c r="B140" s="18" t="n">
        <v>45425</v>
      </c>
      <c r="C140" s="17" t="s">
        <v>20</v>
      </c>
      <c r="D140" s="17" t="s">
        <v>32</v>
      </c>
      <c r="E140" s="17" t="s">
        <v>46</v>
      </c>
      <c r="F140" s="17" t="s">
        <v>43</v>
      </c>
      <c r="G140" s="17" t="n">
        <v>2</v>
      </c>
      <c r="H140" s="19" t="n">
        <v>129.99</v>
      </c>
      <c r="I140" s="19" t="n">
        <f aca="false">G140*H140</f>
        <v>259.98</v>
      </c>
    </row>
    <row r="141" customFormat="false" ht="15" hidden="false" customHeight="false" outlineLevel="0" collapsed="false">
      <c r="A141" s="17" t="n">
        <v>1140</v>
      </c>
      <c r="B141" s="18" t="n">
        <v>45425</v>
      </c>
      <c r="C141" s="17" t="s">
        <v>20</v>
      </c>
      <c r="D141" s="17" t="s">
        <v>35</v>
      </c>
      <c r="E141" s="17" t="s">
        <v>45</v>
      </c>
      <c r="F141" s="17" t="s">
        <v>23</v>
      </c>
      <c r="G141" s="17" t="n">
        <v>8</v>
      </c>
      <c r="H141" s="19" t="n">
        <v>89.99</v>
      </c>
      <c r="I141" s="19" t="n">
        <f aca="false">G141*H141</f>
        <v>719.92</v>
      </c>
    </row>
    <row r="142" customFormat="false" ht="15" hidden="false" customHeight="false" outlineLevel="0" collapsed="false">
      <c r="A142" s="17" t="n">
        <v>1141</v>
      </c>
      <c r="B142" s="18" t="n">
        <v>45427</v>
      </c>
      <c r="C142" s="17" t="s">
        <v>31</v>
      </c>
      <c r="D142" s="17" t="s">
        <v>21</v>
      </c>
      <c r="E142" s="17" t="s">
        <v>40</v>
      </c>
      <c r="F142" s="17" t="s">
        <v>23</v>
      </c>
      <c r="G142" s="17" t="n">
        <v>4</v>
      </c>
      <c r="H142" s="19" t="n">
        <v>69.99</v>
      </c>
      <c r="I142" s="19" t="n">
        <f aca="false">G142*H142</f>
        <v>279.96</v>
      </c>
    </row>
    <row r="143" customFormat="false" ht="15" hidden="false" customHeight="false" outlineLevel="0" collapsed="false">
      <c r="A143" s="17" t="n">
        <v>1142</v>
      </c>
      <c r="B143" s="18" t="n">
        <v>45427</v>
      </c>
      <c r="C143" s="17" t="s">
        <v>34</v>
      </c>
      <c r="D143" s="17" t="s">
        <v>25</v>
      </c>
      <c r="E143" s="17" t="s">
        <v>26</v>
      </c>
      <c r="F143" s="17" t="s">
        <v>27</v>
      </c>
      <c r="G143" s="17" t="n">
        <v>2</v>
      </c>
      <c r="H143" s="19" t="n">
        <v>19.99</v>
      </c>
      <c r="I143" s="19" t="n">
        <f aca="false">G143*H143</f>
        <v>39.98</v>
      </c>
    </row>
    <row r="144" customFormat="false" ht="15" hidden="false" customHeight="false" outlineLevel="0" collapsed="false">
      <c r="A144" s="17" t="n">
        <v>1143</v>
      </c>
      <c r="B144" s="18" t="n">
        <v>45427</v>
      </c>
      <c r="C144" s="17" t="s">
        <v>34</v>
      </c>
      <c r="D144" s="17" t="s">
        <v>35</v>
      </c>
      <c r="E144" s="17" t="s">
        <v>41</v>
      </c>
      <c r="F144" s="17" t="s">
        <v>37</v>
      </c>
      <c r="G144" s="17" t="n">
        <v>1</v>
      </c>
      <c r="H144" s="19" t="n">
        <v>44.99</v>
      </c>
      <c r="I144" s="19" t="n">
        <f aca="false">G144*H144</f>
        <v>44.99</v>
      </c>
    </row>
    <row r="145" customFormat="false" ht="15" hidden="false" customHeight="false" outlineLevel="0" collapsed="false">
      <c r="A145" s="17" t="n">
        <v>1144</v>
      </c>
      <c r="B145" s="18" t="n">
        <v>45427</v>
      </c>
      <c r="C145" s="17" t="s">
        <v>24</v>
      </c>
      <c r="D145" s="17" t="s">
        <v>32</v>
      </c>
      <c r="E145" s="17" t="s">
        <v>42</v>
      </c>
      <c r="F145" s="17" t="s">
        <v>27</v>
      </c>
      <c r="G145" s="17" t="n">
        <v>7</v>
      </c>
      <c r="H145" s="19" t="n">
        <v>49.99</v>
      </c>
      <c r="I145" s="19" t="n">
        <f aca="false">G145*H145</f>
        <v>349.93</v>
      </c>
    </row>
    <row r="146" customFormat="false" ht="15" hidden="false" customHeight="false" outlineLevel="0" collapsed="false">
      <c r="A146" s="17" t="n">
        <v>1145</v>
      </c>
      <c r="B146" s="18" t="n">
        <v>45428</v>
      </c>
      <c r="C146" s="17" t="s">
        <v>34</v>
      </c>
      <c r="D146" s="17" t="s">
        <v>32</v>
      </c>
      <c r="E146" s="17" t="s">
        <v>33</v>
      </c>
      <c r="F146" s="17" t="s">
        <v>43</v>
      </c>
      <c r="G146" s="17" t="n">
        <v>7</v>
      </c>
      <c r="H146" s="19" t="n">
        <v>39.99</v>
      </c>
      <c r="I146" s="19" t="n">
        <f aca="false">G146*H146</f>
        <v>279.93</v>
      </c>
    </row>
    <row r="147" customFormat="false" ht="15" hidden="false" customHeight="false" outlineLevel="0" collapsed="false">
      <c r="A147" s="17" t="n">
        <v>1146</v>
      </c>
      <c r="B147" s="18" t="n">
        <v>45429</v>
      </c>
      <c r="C147" s="17" t="s">
        <v>24</v>
      </c>
      <c r="D147" s="17" t="s">
        <v>32</v>
      </c>
      <c r="E147" s="17" t="s">
        <v>33</v>
      </c>
      <c r="F147" s="17" t="s">
        <v>30</v>
      </c>
      <c r="G147" s="17" t="n">
        <v>12</v>
      </c>
      <c r="H147" s="19" t="n">
        <v>39.99</v>
      </c>
      <c r="I147" s="19" t="n">
        <f aca="false">G147*H147</f>
        <v>479.88</v>
      </c>
    </row>
    <row r="148" customFormat="false" ht="15" hidden="false" customHeight="false" outlineLevel="0" collapsed="false">
      <c r="A148" s="17" t="n">
        <v>1147</v>
      </c>
      <c r="B148" s="18" t="n">
        <v>45429</v>
      </c>
      <c r="C148" s="17" t="s">
        <v>24</v>
      </c>
      <c r="D148" s="17" t="s">
        <v>25</v>
      </c>
      <c r="E148" s="17" t="s">
        <v>26</v>
      </c>
      <c r="F148" s="17" t="s">
        <v>43</v>
      </c>
      <c r="G148" s="17" t="n">
        <v>5</v>
      </c>
      <c r="H148" s="19" t="n">
        <v>19.99</v>
      </c>
      <c r="I148" s="19" t="n">
        <f aca="false">G148*H148</f>
        <v>99.95</v>
      </c>
    </row>
    <row r="149" customFormat="false" ht="15" hidden="false" customHeight="false" outlineLevel="0" collapsed="false">
      <c r="A149" s="17" t="n">
        <v>1148</v>
      </c>
      <c r="B149" s="18" t="n">
        <v>45431</v>
      </c>
      <c r="C149" s="17" t="s">
        <v>31</v>
      </c>
      <c r="D149" s="17" t="s">
        <v>25</v>
      </c>
      <c r="E149" s="17" t="s">
        <v>44</v>
      </c>
      <c r="F149" s="17" t="s">
        <v>37</v>
      </c>
      <c r="G149" s="17" t="n">
        <v>7</v>
      </c>
      <c r="H149" s="19" t="n">
        <v>74.99</v>
      </c>
      <c r="I149" s="19" t="n">
        <f aca="false">G149*H149</f>
        <v>524.93</v>
      </c>
    </row>
    <row r="150" customFormat="false" ht="15" hidden="false" customHeight="false" outlineLevel="0" collapsed="false">
      <c r="A150" s="17" t="n">
        <v>1149</v>
      </c>
      <c r="B150" s="18" t="n">
        <v>45431</v>
      </c>
      <c r="C150" s="17" t="s">
        <v>34</v>
      </c>
      <c r="D150" s="17" t="s">
        <v>35</v>
      </c>
      <c r="E150" s="17" t="s">
        <v>45</v>
      </c>
      <c r="F150" s="17" t="s">
        <v>39</v>
      </c>
      <c r="G150" s="17" t="n">
        <v>4</v>
      </c>
      <c r="H150" s="19" t="n">
        <v>89.99</v>
      </c>
      <c r="I150" s="19" t="n">
        <f aca="false">G150*H150</f>
        <v>359.96</v>
      </c>
    </row>
    <row r="151" customFormat="false" ht="15" hidden="false" customHeight="false" outlineLevel="0" collapsed="false">
      <c r="A151" s="17" t="n">
        <v>1150</v>
      </c>
      <c r="B151" s="18" t="n">
        <v>45431</v>
      </c>
      <c r="C151" s="17" t="s">
        <v>34</v>
      </c>
      <c r="D151" s="17" t="s">
        <v>35</v>
      </c>
      <c r="E151" s="17" t="s">
        <v>45</v>
      </c>
      <c r="F151" s="17" t="s">
        <v>43</v>
      </c>
      <c r="G151" s="17" t="n">
        <v>7</v>
      </c>
      <c r="H151" s="19" t="n">
        <v>89.99</v>
      </c>
      <c r="I151" s="19" t="n">
        <f aca="false">G151*H151</f>
        <v>629.93</v>
      </c>
    </row>
    <row r="152" customFormat="false" ht="15" hidden="false" customHeight="false" outlineLevel="0" collapsed="false">
      <c r="A152" s="17" t="n">
        <v>1151</v>
      </c>
      <c r="B152" s="18" t="n">
        <v>45431</v>
      </c>
      <c r="C152" s="17" t="s">
        <v>20</v>
      </c>
      <c r="D152" s="17" t="s">
        <v>32</v>
      </c>
      <c r="E152" s="17" t="s">
        <v>46</v>
      </c>
      <c r="F152" s="17" t="s">
        <v>39</v>
      </c>
      <c r="G152" s="17" t="n">
        <v>5</v>
      </c>
      <c r="H152" s="19" t="n">
        <v>129.99</v>
      </c>
      <c r="I152" s="19" t="n">
        <f aca="false">G152*H152</f>
        <v>649.95</v>
      </c>
    </row>
    <row r="153" customFormat="false" ht="15" hidden="false" customHeight="false" outlineLevel="0" collapsed="false">
      <c r="A153" s="17" t="n">
        <v>1152</v>
      </c>
      <c r="B153" s="18" t="n">
        <v>45432</v>
      </c>
      <c r="C153" s="17" t="s">
        <v>31</v>
      </c>
      <c r="D153" s="17" t="s">
        <v>35</v>
      </c>
      <c r="E153" s="17" t="s">
        <v>36</v>
      </c>
      <c r="F153" s="17" t="s">
        <v>27</v>
      </c>
      <c r="G153" s="17" t="n">
        <v>5</v>
      </c>
      <c r="H153" s="19" t="n">
        <v>54.99</v>
      </c>
      <c r="I153" s="19" t="n">
        <f aca="false">G153*H153</f>
        <v>274.95</v>
      </c>
    </row>
    <row r="154" customFormat="false" ht="15" hidden="false" customHeight="false" outlineLevel="0" collapsed="false">
      <c r="A154" s="17" t="n">
        <v>1153</v>
      </c>
      <c r="B154" s="18" t="n">
        <v>45432</v>
      </c>
      <c r="C154" s="17" t="s">
        <v>20</v>
      </c>
      <c r="D154" s="17" t="s">
        <v>21</v>
      </c>
      <c r="E154" s="17" t="s">
        <v>22</v>
      </c>
      <c r="F154" s="17" t="s">
        <v>39</v>
      </c>
      <c r="G154" s="17" t="n">
        <v>10</v>
      </c>
      <c r="H154" s="19" t="n">
        <v>24.99</v>
      </c>
      <c r="I154" s="19" t="n">
        <f aca="false">G154*H154</f>
        <v>249.9</v>
      </c>
    </row>
    <row r="155" customFormat="false" ht="15" hidden="false" customHeight="false" outlineLevel="0" collapsed="false">
      <c r="A155" s="17" t="n">
        <v>1154</v>
      </c>
      <c r="B155" s="18" t="n">
        <v>45433</v>
      </c>
      <c r="C155" s="17" t="s">
        <v>34</v>
      </c>
      <c r="D155" s="17" t="s">
        <v>35</v>
      </c>
      <c r="E155" s="17" t="s">
        <v>41</v>
      </c>
      <c r="F155" s="17" t="s">
        <v>27</v>
      </c>
      <c r="G155" s="17" t="n">
        <v>4</v>
      </c>
      <c r="H155" s="19" t="n">
        <v>44.99</v>
      </c>
      <c r="I155" s="19" t="n">
        <f aca="false">G155*H155</f>
        <v>179.96</v>
      </c>
    </row>
    <row r="156" customFormat="false" ht="15" hidden="false" customHeight="false" outlineLevel="0" collapsed="false">
      <c r="A156" s="17" t="n">
        <v>1155</v>
      </c>
      <c r="B156" s="18" t="n">
        <v>45433</v>
      </c>
      <c r="C156" s="17" t="s">
        <v>31</v>
      </c>
      <c r="D156" s="17" t="s">
        <v>35</v>
      </c>
      <c r="E156" s="17" t="s">
        <v>41</v>
      </c>
      <c r="F156" s="17" t="s">
        <v>30</v>
      </c>
      <c r="G156" s="17" t="n">
        <v>4</v>
      </c>
      <c r="H156" s="19" t="n">
        <v>44.99</v>
      </c>
      <c r="I156" s="19" t="n">
        <f aca="false">G156*H156</f>
        <v>179.96</v>
      </c>
    </row>
    <row r="157" customFormat="false" ht="15" hidden="false" customHeight="false" outlineLevel="0" collapsed="false">
      <c r="A157" s="17" t="n">
        <v>1156</v>
      </c>
      <c r="B157" s="18" t="n">
        <v>45434</v>
      </c>
      <c r="C157" s="17" t="s">
        <v>20</v>
      </c>
      <c r="D157" s="17" t="s">
        <v>32</v>
      </c>
      <c r="E157" s="17" t="s">
        <v>33</v>
      </c>
      <c r="F157" s="17" t="s">
        <v>37</v>
      </c>
      <c r="G157" s="17" t="n">
        <v>11</v>
      </c>
      <c r="H157" s="19" t="n">
        <v>39.99</v>
      </c>
      <c r="I157" s="19" t="n">
        <f aca="false">G157*H157</f>
        <v>439.89</v>
      </c>
    </row>
    <row r="158" customFormat="false" ht="15" hidden="false" customHeight="false" outlineLevel="0" collapsed="false">
      <c r="A158" s="17" t="n">
        <v>1157</v>
      </c>
      <c r="B158" s="18" t="n">
        <v>45434</v>
      </c>
      <c r="C158" s="17" t="s">
        <v>24</v>
      </c>
      <c r="D158" s="17" t="s">
        <v>32</v>
      </c>
      <c r="E158" s="17" t="s">
        <v>42</v>
      </c>
      <c r="F158" s="17" t="s">
        <v>27</v>
      </c>
      <c r="G158" s="17" t="n">
        <v>7</v>
      </c>
      <c r="H158" s="19" t="n">
        <v>49.99</v>
      </c>
      <c r="I158" s="19" t="n">
        <f aca="false">G158*H158</f>
        <v>349.93</v>
      </c>
    </row>
    <row r="159" customFormat="false" ht="15" hidden="false" customHeight="false" outlineLevel="0" collapsed="false">
      <c r="A159" s="17" t="n">
        <v>1158</v>
      </c>
      <c r="B159" s="18" t="n">
        <v>45434</v>
      </c>
      <c r="C159" s="17" t="s">
        <v>24</v>
      </c>
      <c r="D159" s="17" t="s">
        <v>35</v>
      </c>
      <c r="E159" s="17" t="s">
        <v>36</v>
      </c>
      <c r="F159" s="17" t="s">
        <v>43</v>
      </c>
      <c r="G159" s="17" t="n">
        <v>8</v>
      </c>
      <c r="H159" s="19" t="n">
        <v>54.99</v>
      </c>
      <c r="I159" s="19" t="n">
        <f aca="false">G159*H159</f>
        <v>439.92</v>
      </c>
    </row>
    <row r="160" customFormat="false" ht="15" hidden="false" customHeight="false" outlineLevel="0" collapsed="false">
      <c r="A160" s="17" t="n">
        <v>1159</v>
      </c>
      <c r="B160" s="18" t="n">
        <v>45434</v>
      </c>
      <c r="C160" s="17" t="s">
        <v>20</v>
      </c>
      <c r="D160" s="17" t="s">
        <v>35</v>
      </c>
      <c r="E160" s="17" t="s">
        <v>36</v>
      </c>
      <c r="F160" s="17" t="s">
        <v>23</v>
      </c>
      <c r="G160" s="17" t="n">
        <v>6</v>
      </c>
      <c r="H160" s="19" t="n">
        <v>54.99</v>
      </c>
      <c r="I160" s="19" t="n">
        <f aca="false">G160*H160</f>
        <v>329.94</v>
      </c>
    </row>
    <row r="161" customFormat="false" ht="15" hidden="false" customHeight="false" outlineLevel="0" collapsed="false">
      <c r="A161" s="17" t="n">
        <v>1160</v>
      </c>
      <c r="B161" s="18" t="n">
        <v>45434</v>
      </c>
      <c r="C161" s="17" t="s">
        <v>34</v>
      </c>
      <c r="D161" s="17" t="s">
        <v>21</v>
      </c>
      <c r="E161" s="17" t="s">
        <v>40</v>
      </c>
      <c r="F161" s="17" t="s">
        <v>23</v>
      </c>
      <c r="G161" s="17" t="n">
        <v>9</v>
      </c>
      <c r="H161" s="19" t="n">
        <v>69.99</v>
      </c>
      <c r="I161" s="19" t="n">
        <f aca="false">G161*H161</f>
        <v>629.91</v>
      </c>
    </row>
    <row r="162" customFormat="false" ht="15" hidden="false" customHeight="false" outlineLevel="0" collapsed="false">
      <c r="A162" s="17" t="n">
        <v>1161</v>
      </c>
      <c r="B162" s="18" t="n">
        <v>45436</v>
      </c>
      <c r="C162" s="17" t="s">
        <v>34</v>
      </c>
      <c r="D162" s="17" t="s">
        <v>35</v>
      </c>
      <c r="E162" s="17" t="s">
        <v>45</v>
      </c>
      <c r="F162" s="17" t="s">
        <v>37</v>
      </c>
      <c r="G162" s="17" t="n">
        <v>11</v>
      </c>
      <c r="H162" s="19" t="n">
        <v>89.99</v>
      </c>
      <c r="I162" s="19" t="n">
        <f aca="false">G162*H162</f>
        <v>989.89</v>
      </c>
    </row>
    <row r="163" customFormat="false" ht="15" hidden="false" customHeight="false" outlineLevel="0" collapsed="false">
      <c r="A163" s="17" t="n">
        <v>1162</v>
      </c>
      <c r="B163" s="18" t="n">
        <v>45437</v>
      </c>
      <c r="C163" s="17" t="s">
        <v>34</v>
      </c>
      <c r="D163" s="17" t="s">
        <v>32</v>
      </c>
      <c r="E163" s="17" t="s">
        <v>46</v>
      </c>
      <c r="F163" s="17" t="s">
        <v>30</v>
      </c>
      <c r="G163" s="17" t="n">
        <v>12</v>
      </c>
      <c r="H163" s="19" t="n">
        <v>129.99</v>
      </c>
      <c r="I163" s="19" t="n">
        <f aca="false">G163*H163</f>
        <v>1559.88</v>
      </c>
    </row>
    <row r="164" customFormat="false" ht="15" hidden="false" customHeight="false" outlineLevel="0" collapsed="false">
      <c r="A164" s="17" t="n">
        <v>1163</v>
      </c>
      <c r="B164" s="18" t="n">
        <v>45437</v>
      </c>
      <c r="C164" s="17" t="s">
        <v>34</v>
      </c>
      <c r="D164" s="17" t="s">
        <v>28</v>
      </c>
      <c r="E164" s="17" t="s">
        <v>29</v>
      </c>
      <c r="F164" s="17" t="s">
        <v>23</v>
      </c>
      <c r="G164" s="17" t="n">
        <v>9</v>
      </c>
      <c r="H164" s="19" t="n">
        <v>14.99</v>
      </c>
      <c r="I164" s="19" t="n">
        <f aca="false">G164*H164</f>
        <v>134.91</v>
      </c>
    </row>
    <row r="165" customFormat="false" ht="15" hidden="false" customHeight="false" outlineLevel="0" collapsed="false">
      <c r="A165" s="17" t="n">
        <v>1164</v>
      </c>
      <c r="B165" s="18" t="n">
        <v>45439</v>
      </c>
      <c r="C165" s="17" t="s">
        <v>20</v>
      </c>
      <c r="D165" s="17" t="s">
        <v>21</v>
      </c>
      <c r="E165" s="17" t="s">
        <v>22</v>
      </c>
      <c r="F165" s="17" t="s">
        <v>37</v>
      </c>
      <c r="G165" s="17" t="n">
        <v>2</v>
      </c>
      <c r="H165" s="19" t="n">
        <v>24.99</v>
      </c>
      <c r="I165" s="19" t="n">
        <f aca="false">G165*H165</f>
        <v>49.98</v>
      </c>
    </row>
    <row r="166" customFormat="false" ht="15" hidden="false" customHeight="false" outlineLevel="0" collapsed="false">
      <c r="A166" s="17" t="n">
        <v>1165</v>
      </c>
      <c r="B166" s="18" t="n">
        <v>45439</v>
      </c>
      <c r="C166" s="17" t="s">
        <v>34</v>
      </c>
      <c r="D166" s="17" t="s">
        <v>35</v>
      </c>
      <c r="E166" s="17" t="s">
        <v>36</v>
      </c>
      <c r="F166" s="17" t="s">
        <v>43</v>
      </c>
      <c r="G166" s="17" t="n">
        <v>1</v>
      </c>
      <c r="H166" s="19" t="n">
        <v>54.99</v>
      </c>
      <c r="I166" s="19" t="n">
        <f aca="false">G166*H166</f>
        <v>54.99</v>
      </c>
    </row>
    <row r="167" customFormat="false" ht="15" hidden="false" customHeight="false" outlineLevel="0" collapsed="false">
      <c r="A167" s="17" t="n">
        <v>1166</v>
      </c>
      <c r="B167" s="18" t="n">
        <v>45440</v>
      </c>
      <c r="C167" s="17" t="s">
        <v>24</v>
      </c>
      <c r="D167" s="17" t="s">
        <v>32</v>
      </c>
      <c r="E167" s="17" t="s">
        <v>33</v>
      </c>
      <c r="F167" s="17" t="s">
        <v>43</v>
      </c>
      <c r="G167" s="17" t="n">
        <v>7</v>
      </c>
      <c r="H167" s="19" t="n">
        <v>39.99</v>
      </c>
      <c r="I167" s="19" t="n">
        <f aca="false">G167*H167</f>
        <v>279.93</v>
      </c>
    </row>
    <row r="168" customFormat="false" ht="15" hidden="false" customHeight="false" outlineLevel="0" collapsed="false">
      <c r="A168" s="17" t="n">
        <v>1167</v>
      </c>
      <c r="B168" s="18" t="n">
        <v>45443</v>
      </c>
      <c r="C168" s="17" t="s">
        <v>20</v>
      </c>
      <c r="D168" s="17" t="s">
        <v>25</v>
      </c>
      <c r="E168" s="17" t="s">
        <v>44</v>
      </c>
      <c r="F168" s="17" t="s">
        <v>23</v>
      </c>
      <c r="G168" s="17" t="n">
        <v>5</v>
      </c>
      <c r="H168" s="19" t="n">
        <v>74.99</v>
      </c>
      <c r="I168" s="19" t="n">
        <f aca="false">G168*H168</f>
        <v>374.95</v>
      </c>
    </row>
    <row r="169" customFormat="false" ht="15" hidden="false" customHeight="false" outlineLevel="0" collapsed="false">
      <c r="A169" s="17" t="n">
        <v>1168</v>
      </c>
      <c r="B169" s="18" t="n">
        <v>45443</v>
      </c>
      <c r="C169" s="17" t="s">
        <v>31</v>
      </c>
      <c r="D169" s="17" t="s">
        <v>32</v>
      </c>
      <c r="E169" s="17" t="s">
        <v>33</v>
      </c>
      <c r="F169" s="17" t="s">
        <v>27</v>
      </c>
      <c r="G169" s="17" t="n">
        <v>6</v>
      </c>
      <c r="H169" s="19" t="n">
        <v>39.99</v>
      </c>
      <c r="I169" s="19" t="n">
        <f aca="false">G169*H169</f>
        <v>239.94</v>
      </c>
    </row>
    <row r="170" customFormat="false" ht="15" hidden="false" customHeight="false" outlineLevel="0" collapsed="false">
      <c r="A170" s="17" t="n">
        <v>1169</v>
      </c>
      <c r="B170" s="18" t="n">
        <v>45443</v>
      </c>
      <c r="C170" s="17" t="s">
        <v>31</v>
      </c>
      <c r="D170" s="17" t="s">
        <v>25</v>
      </c>
      <c r="E170" s="17" t="s">
        <v>44</v>
      </c>
      <c r="F170" s="17" t="s">
        <v>30</v>
      </c>
      <c r="G170" s="17" t="n">
        <v>12</v>
      </c>
      <c r="H170" s="19" t="n">
        <v>74.99</v>
      </c>
      <c r="I170" s="19" t="n">
        <f aca="false">G170*H170</f>
        <v>899.88</v>
      </c>
    </row>
    <row r="171" customFormat="false" ht="15" hidden="false" customHeight="false" outlineLevel="0" collapsed="false">
      <c r="A171" s="17" t="n">
        <v>1170</v>
      </c>
      <c r="B171" s="18" t="n">
        <v>45444</v>
      </c>
      <c r="C171" s="17" t="s">
        <v>34</v>
      </c>
      <c r="D171" s="17" t="s">
        <v>21</v>
      </c>
      <c r="E171" s="17" t="s">
        <v>22</v>
      </c>
      <c r="F171" s="17" t="s">
        <v>23</v>
      </c>
      <c r="G171" s="17" t="n">
        <v>8</v>
      </c>
      <c r="H171" s="19" t="n">
        <v>24.99</v>
      </c>
      <c r="I171" s="19" t="n">
        <f aca="false">G171*H171</f>
        <v>199.92</v>
      </c>
    </row>
    <row r="172" customFormat="false" ht="15" hidden="false" customHeight="false" outlineLevel="0" collapsed="false">
      <c r="A172" s="17" t="n">
        <v>1171</v>
      </c>
      <c r="B172" s="18" t="n">
        <v>45445</v>
      </c>
      <c r="C172" s="17" t="s">
        <v>31</v>
      </c>
      <c r="D172" s="17" t="s">
        <v>21</v>
      </c>
      <c r="E172" s="17" t="s">
        <v>40</v>
      </c>
      <c r="F172" s="17" t="s">
        <v>23</v>
      </c>
      <c r="G172" s="17" t="n">
        <v>5</v>
      </c>
      <c r="H172" s="19" t="n">
        <v>69.99</v>
      </c>
      <c r="I172" s="19" t="n">
        <f aca="false">G172*H172</f>
        <v>349.95</v>
      </c>
    </row>
    <row r="173" customFormat="false" ht="15" hidden="false" customHeight="false" outlineLevel="0" collapsed="false">
      <c r="A173" s="17" t="n">
        <v>1172</v>
      </c>
      <c r="B173" s="18" t="n">
        <v>45446</v>
      </c>
      <c r="C173" s="17" t="s">
        <v>31</v>
      </c>
      <c r="D173" s="17" t="s">
        <v>32</v>
      </c>
      <c r="E173" s="17" t="s">
        <v>33</v>
      </c>
      <c r="F173" s="17" t="s">
        <v>23</v>
      </c>
      <c r="G173" s="17" t="n">
        <v>7</v>
      </c>
      <c r="H173" s="19" t="n">
        <v>39.99</v>
      </c>
      <c r="I173" s="19" t="n">
        <f aca="false">G173*H173</f>
        <v>279.93</v>
      </c>
    </row>
    <row r="174" customFormat="false" ht="15" hidden="false" customHeight="false" outlineLevel="0" collapsed="false">
      <c r="A174" s="17" t="n">
        <v>1173</v>
      </c>
      <c r="B174" s="18" t="n">
        <v>45446</v>
      </c>
      <c r="C174" s="17" t="s">
        <v>31</v>
      </c>
      <c r="D174" s="17" t="s">
        <v>21</v>
      </c>
      <c r="E174" s="17" t="s">
        <v>22</v>
      </c>
      <c r="F174" s="17" t="s">
        <v>27</v>
      </c>
      <c r="G174" s="17" t="n">
        <v>9</v>
      </c>
      <c r="H174" s="19" t="n">
        <v>24.99</v>
      </c>
      <c r="I174" s="19" t="n">
        <f aca="false">G174*H174</f>
        <v>224.91</v>
      </c>
    </row>
    <row r="175" customFormat="false" ht="15" hidden="false" customHeight="false" outlineLevel="0" collapsed="false">
      <c r="A175" s="17" t="n">
        <v>1174</v>
      </c>
      <c r="B175" s="18" t="n">
        <v>45446</v>
      </c>
      <c r="C175" s="17" t="s">
        <v>31</v>
      </c>
      <c r="D175" s="17" t="s">
        <v>35</v>
      </c>
      <c r="E175" s="17" t="s">
        <v>45</v>
      </c>
      <c r="F175" s="17" t="s">
        <v>37</v>
      </c>
      <c r="G175" s="17" t="n">
        <v>5</v>
      </c>
      <c r="H175" s="19" t="n">
        <v>89.99</v>
      </c>
      <c r="I175" s="19" t="n">
        <f aca="false">G175*H175</f>
        <v>449.95</v>
      </c>
    </row>
    <row r="176" customFormat="false" ht="15" hidden="false" customHeight="false" outlineLevel="0" collapsed="false">
      <c r="A176" s="17" t="n">
        <v>1175</v>
      </c>
      <c r="B176" s="18" t="n">
        <v>45446</v>
      </c>
      <c r="C176" s="17" t="s">
        <v>31</v>
      </c>
      <c r="D176" s="17" t="s">
        <v>21</v>
      </c>
      <c r="E176" s="17" t="s">
        <v>40</v>
      </c>
      <c r="F176" s="17" t="s">
        <v>30</v>
      </c>
      <c r="G176" s="17" t="n">
        <v>1</v>
      </c>
      <c r="H176" s="19" t="n">
        <v>69.99</v>
      </c>
      <c r="I176" s="19" t="n">
        <f aca="false">G176*H176</f>
        <v>69.99</v>
      </c>
    </row>
    <row r="177" customFormat="false" ht="15" hidden="false" customHeight="false" outlineLevel="0" collapsed="false">
      <c r="A177" s="17" t="n">
        <v>1176</v>
      </c>
      <c r="B177" s="18" t="n">
        <v>45447</v>
      </c>
      <c r="C177" s="17" t="s">
        <v>24</v>
      </c>
      <c r="D177" s="17" t="s">
        <v>32</v>
      </c>
      <c r="E177" s="17" t="s">
        <v>46</v>
      </c>
      <c r="F177" s="17" t="s">
        <v>37</v>
      </c>
      <c r="G177" s="17" t="n">
        <v>12</v>
      </c>
      <c r="H177" s="19" t="n">
        <v>129.99</v>
      </c>
      <c r="I177" s="19" t="n">
        <f aca="false">G177*H177</f>
        <v>1559.88</v>
      </c>
    </row>
    <row r="178" customFormat="false" ht="15" hidden="false" customHeight="false" outlineLevel="0" collapsed="false">
      <c r="A178" s="17" t="n">
        <v>1177</v>
      </c>
      <c r="B178" s="18" t="n">
        <v>45449</v>
      </c>
      <c r="C178" s="17" t="s">
        <v>24</v>
      </c>
      <c r="D178" s="17" t="s">
        <v>32</v>
      </c>
      <c r="E178" s="17" t="s">
        <v>42</v>
      </c>
      <c r="F178" s="17" t="s">
        <v>39</v>
      </c>
      <c r="G178" s="17" t="n">
        <v>10</v>
      </c>
      <c r="H178" s="19" t="n">
        <v>49.99</v>
      </c>
      <c r="I178" s="19" t="n">
        <f aca="false">G178*H178</f>
        <v>499.9</v>
      </c>
    </row>
    <row r="179" customFormat="false" ht="15" hidden="false" customHeight="false" outlineLevel="0" collapsed="false">
      <c r="A179" s="17" t="n">
        <v>1178</v>
      </c>
      <c r="B179" s="18" t="n">
        <v>45450</v>
      </c>
      <c r="C179" s="17" t="s">
        <v>20</v>
      </c>
      <c r="D179" s="17" t="s">
        <v>25</v>
      </c>
      <c r="E179" s="17" t="s">
        <v>26</v>
      </c>
      <c r="F179" s="17" t="s">
        <v>43</v>
      </c>
      <c r="G179" s="17" t="n">
        <v>3</v>
      </c>
      <c r="H179" s="19" t="n">
        <v>19.99</v>
      </c>
      <c r="I179" s="19" t="n">
        <f aca="false">G179*H179</f>
        <v>59.97</v>
      </c>
    </row>
    <row r="180" customFormat="false" ht="15" hidden="false" customHeight="false" outlineLevel="0" collapsed="false">
      <c r="A180" s="17" t="n">
        <v>1179</v>
      </c>
      <c r="B180" s="18" t="n">
        <v>45450</v>
      </c>
      <c r="C180" s="17" t="s">
        <v>24</v>
      </c>
      <c r="D180" s="17" t="s">
        <v>25</v>
      </c>
      <c r="E180" s="17" t="s">
        <v>44</v>
      </c>
      <c r="F180" s="17" t="s">
        <v>23</v>
      </c>
      <c r="G180" s="17" t="n">
        <v>1</v>
      </c>
      <c r="H180" s="19" t="n">
        <v>74.99</v>
      </c>
      <c r="I180" s="19" t="n">
        <f aca="false">G180*H180</f>
        <v>74.99</v>
      </c>
    </row>
    <row r="181" customFormat="false" ht="15" hidden="false" customHeight="false" outlineLevel="0" collapsed="false">
      <c r="A181" s="17" t="n">
        <v>1180</v>
      </c>
      <c r="B181" s="18" t="n">
        <v>45450</v>
      </c>
      <c r="C181" s="17" t="s">
        <v>34</v>
      </c>
      <c r="D181" s="17" t="s">
        <v>35</v>
      </c>
      <c r="E181" s="17" t="s">
        <v>41</v>
      </c>
      <c r="F181" s="17" t="s">
        <v>27</v>
      </c>
      <c r="G181" s="17" t="n">
        <v>6</v>
      </c>
      <c r="H181" s="19" t="n">
        <v>44.99</v>
      </c>
      <c r="I181" s="19" t="n">
        <f aca="false">G181*H181</f>
        <v>269.94</v>
      </c>
    </row>
    <row r="182" customFormat="false" ht="15" hidden="false" customHeight="false" outlineLevel="0" collapsed="false">
      <c r="A182" s="17" t="n">
        <v>1181</v>
      </c>
      <c r="B182" s="18" t="n">
        <v>45450</v>
      </c>
      <c r="C182" s="17" t="s">
        <v>24</v>
      </c>
      <c r="D182" s="17" t="s">
        <v>32</v>
      </c>
      <c r="E182" s="17" t="s">
        <v>46</v>
      </c>
      <c r="F182" s="17" t="s">
        <v>37</v>
      </c>
      <c r="G182" s="17" t="n">
        <v>8</v>
      </c>
      <c r="H182" s="19" t="n">
        <v>129.99</v>
      </c>
      <c r="I182" s="19" t="n">
        <f aca="false">G182*H182</f>
        <v>1039.92</v>
      </c>
    </row>
    <row r="183" customFormat="false" ht="15" hidden="false" customHeight="false" outlineLevel="0" collapsed="false">
      <c r="A183" s="17" t="n">
        <v>1182</v>
      </c>
      <c r="B183" s="18" t="n">
        <v>45452</v>
      </c>
      <c r="C183" s="17" t="s">
        <v>20</v>
      </c>
      <c r="D183" s="17" t="s">
        <v>21</v>
      </c>
      <c r="E183" s="17" t="s">
        <v>40</v>
      </c>
      <c r="F183" s="17" t="s">
        <v>37</v>
      </c>
      <c r="G183" s="17" t="n">
        <v>3</v>
      </c>
      <c r="H183" s="19" t="n">
        <v>69.99</v>
      </c>
      <c r="I183" s="19" t="n">
        <f aca="false">G183*H183</f>
        <v>209.97</v>
      </c>
    </row>
    <row r="184" customFormat="false" ht="15" hidden="false" customHeight="false" outlineLevel="0" collapsed="false">
      <c r="A184" s="17" t="n">
        <v>1183</v>
      </c>
      <c r="B184" s="18" t="n">
        <v>45453</v>
      </c>
      <c r="C184" s="17" t="s">
        <v>34</v>
      </c>
      <c r="D184" s="17" t="s">
        <v>25</v>
      </c>
      <c r="E184" s="17" t="s">
        <v>44</v>
      </c>
      <c r="F184" s="17" t="s">
        <v>39</v>
      </c>
      <c r="G184" s="17" t="n">
        <v>11</v>
      </c>
      <c r="H184" s="19" t="n">
        <v>74.99</v>
      </c>
      <c r="I184" s="19" t="n">
        <f aca="false">G184*H184</f>
        <v>824.89</v>
      </c>
    </row>
    <row r="185" customFormat="false" ht="15" hidden="false" customHeight="false" outlineLevel="0" collapsed="false">
      <c r="A185" s="17" t="n">
        <v>1184</v>
      </c>
      <c r="B185" s="18" t="n">
        <v>45454</v>
      </c>
      <c r="C185" s="17" t="s">
        <v>34</v>
      </c>
      <c r="D185" s="17" t="s">
        <v>28</v>
      </c>
      <c r="E185" s="17" t="s">
        <v>29</v>
      </c>
      <c r="F185" s="17" t="s">
        <v>27</v>
      </c>
      <c r="G185" s="17" t="n">
        <v>7</v>
      </c>
      <c r="H185" s="19" t="n">
        <v>14.99</v>
      </c>
      <c r="I185" s="19" t="n">
        <f aca="false">G185*H185</f>
        <v>104.93</v>
      </c>
    </row>
    <row r="186" customFormat="false" ht="15" hidden="false" customHeight="false" outlineLevel="0" collapsed="false">
      <c r="A186" s="17" t="n">
        <v>1185</v>
      </c>
      <c r="B186" s="18" t="n">
        <v>45455</v>
      </c>
      <c r="C186" s="17" t="s">
        <v>20</v>
      </c>
      <c r="D186" s="17" t="s">
        <v>21</v>
      </c>
      <c r="E186" s="17" t="s">
        <v>40</v>
      </c>
      <c r="F186" s="17" t="s">
        <v>27</v>
      </c>
      <c r="G186" s="17" t="n">
        <v>2</v>
      </c>
      <c r="H186" s="19" t="n">
        <v>69.99</v>
      </c>
      <c r="I186" s="19" t="n">
        <f aca="false">G186*H186</f>
        <v>139.98</v>
      </c>
    </row>
    <row r="187" customFormat="false" ht="15" hidden="false" customHeight="false" outlineLevel="0" collapsed="false">
      <c r="A187" s="17" t="n">
        <v>1186</v>
      </c>
      <c r="B187" s="18" t="n">
        <v>45456</v>
      </c>
      <c r="C187" s="17" t="s">
        <v>24</v>
      </c>
      <c r="D187" s="17" t="s">
        <v>21</v>
      </c>
      <c r="E187" s="17" t="s">
        <v>22</v>
      </c>
      <c r="F187" s="17" t="s">
        <v>43</v>
      </c>
      <c r="G187" s="17" t="n">
        <v>3</v>
      </c>
      <c r="H187" s="19" t="n">
        <v>24.99</v>
      </c>
      <c r="I187" s="19" t="n">
        <f aca="false">G187*H187</f>
        <v>74.97</v>
      </c>
    </row>
    <row r="188" customFormat="false" ht="15" hidden="false" customHeight="false" outlineLevel="0" collapsed="false">
      <c r="A188" s="17" t="n">
        <v>1187</v>
      </c>
      <c r="B188" s="18" t="n">
        <v>45458</v>
      </c>
      <c r="C188" s="17" t="s">
        <v>34</v>
      </c>
      <c r="D188" s="17" t="s">
        <v>32</v>
      </c>
      <c r="E188" s="17" t="s">
        <v>46</v>
      </c>
      <c r="F188" s="17" t="s">
        <v>23</v>
      </c>
      <c r="G188" s="17" t="n">
        <v>6</v>
      </c>
      <c r="H188" s="19" t="n">
        <v>129.99</v>
      </c>
      <c r="I188" s="19" t="n">
        <f aca="false">G188*H188</f>
        <v>779.94</v>
      </c>
    </row>
    <row r="189" customFormat="false" ht="15" hidden="false" customHeight="false" outlineLevel="0" collapsed="false">
      <c r="A189" s="17" t="n">
        <v>1188</v>
      </c>
      <c r="B189" s="18" t="n">
        <v>45458</v>
      </c>
      <c r="C189" s="17" t="s">
        <v>34</v>
      </c>
      <c r="D189" s="17" t="s">
        <v>32</v>
      </c>
      <c r="E189" s="17" t="s">
        <v>46</v>
      </c>
      <c r="F189" s="17" t="s">
        <v>27</v>
      </c>
      <c r="G189" s="17" t="n">
        <v>6</v>
      </c>
      <c r="H189" s="19" t="n">
        <v>129.99</v>
      </c>
      <c r="I189" s="19" t="n">
        <f aca="false">G189*H189</f>
        <v>779.94</v>
      </c>
    </row>
    <row r="190" customFormat="false" ht="15" hidden="false" customHeight="false" outlineLevel="0" collapsed="false">
      <c r="A190" s="17" t="n">
        <v>1189</v>
      </c>
      <c r="B190" s="18" t="n">
        <v>45459</v>
      </c>
      <c r="C190" s="17" t="s">
        <v>34</v>
      </c>
      <c r="D190" s="17" t="s">
        <v>25</v>
      </c>
      <c r="E190" s="17" t="s">
        <v>26</v>
      </c>
      <c r="F190" s="17" t="s">
        <v>37</v>
      </c>
      <c r="G190" s="17" t="n">
        <v>7</v>
      </c>
      <c r="H190" s="19" t="n">
        <v>19.99</v>
      </c>
      <c r="I190" s="19" t="n">
        <f aca="false">G190*H190</f>
        <v>139.93</v>
      </c>
    </row>
    <row r="191" customFormat="false" ht="15" hidden="false" customHeight="false" outlineLevel="0" collapsed="false">
      <c r="A191" s="17" t="n">
        <v>1190</v>
      </c>
      <c r="B191" s="18" t="n">
        <v>45459</v>
      </c>
      <c r="C191" s="17" t="s">
        <v>34</v>
      </c>
      <c r="D191" s="17" t="s">
        <v>28</v>
      </c>
      <c r="E191" s="17" t="s">
        <v>29</v>
      </c>
      <c r="F191" s="17" t="s">
        <v>23</v>
      </c>
      <c r="G191" s="17" t="n">
        <v>4</v>
      </c>
      <c r="H191" s="19" t="n">
        <v>14.99</v>
      </c>
      <c r="I191" s="19" t="n">
        <f aca="false">G191*H191</f>
        <v>59.96</v>
      </c>
    </row>
    <row r="192" customFormat="false" ht="15" hidden="false" customHeight="false" outlineLevel="0" collapsed="false">
      <c r="A192" s="17" t="n">
        <v>1191</v>
      </c>
      <c r="B192" s="18" t="n">
        <v>45459</v>
      </c>
      <c r="C192" s="17" t="s">
        <v>20</v>
      </c>
      <c r="D192" s="17" t="s">
        <v>21</v>
      </c>
      <c r="E192" s="17" t="s">
        <v>40</v>
      </c>
      <c r="F192" s="17" t="s">
        <v>37</v>
      </c>
      <c r="G192" s="17" t="n">
        <v>8</v>
      </c>
      <c r="H192" s="19" t="n">
        <v>69.99</v>
      </c>
      <c r="I192" s="19" t="n">
        <f aca="false">G192*H192</f>
        <v>559.92</v>
      </c>
    </row>
    <row r="193" customFormat="false" ht="15" hidden="false" customHeight="false" outlineLevel="0" collapsed="false">
      <c r="A193" s="17" t="n">
        <v>1192</v>
      </c>
      <c r="B193" s="18" t="n">
        <v>45459</v>
      </c>
      <c r="C193" s="17" t="s">
        <v>24</v>
      </c>
      <c r="D193" s="17" t="s">
        <v>21</v>
      </c>
      <c r="E193" s="17" t="s">
        <v>22</v>
      </c>
      <c r="F193" s="17" t="s">
        <v>27</v>
      </c>
      <c r="G193" s="17" t="n">
        <v>2</v>
      </c>
      <c r="H193" s="19" t="n">
        <v>24.99</v>
      </c>
      <c r="I193" s="19" t="n">
        <f aca="false">G193*H193</f>
        <v>49.98</v>
      </c>
    </row>
    <row r="194" customFormat="false" ht="15" hidden="false" customHeight="false" outlineLevel="0" collapsed="false">
      <c r="A194" s="17" t="n">
        <v>1193</v>
      </c>
      <c r="B194" s="18" t="n">
        <v>45460</v>
      </c>
      <c r="C194" s="17" t="s">
        <v>34</v>
      </c>
      <c r="D194" s="17" t="s">
        <v>21</v>
      </c>
      <c r="E194" s="17" t="s">
        <v>40</v>
      </c>
      <c r="F194" s="17" t="s">
        <v>37</v>
      </c>
      <c r="G194" s="17" t="n">
        <v>11</v>
      </c>
      <c r="H194" s="19" t="n">
        <v>69.99</v>
      </c>
      <c r="I194" s="19" t="n">
        <f aca="false">G194*H194</f>
        <v>769.89</v>
      </c>
    </row>
    <row r="195" customFormat="false" ht="15" hidden="false" customHeight="false" outlineLevel="0" collapsed="false">
      <c r="A195" s="17" t="n">
        <v>1194</v>
      </c>
      <c r="B195" s="18" t="n">
        <v>45461</v>
      </c>
      <c r="C195" s="17" t="s">
        <v>34</v>
      </c>
      <c r="D195" s="17" t="s">
        <v>35</v>
      </c>
      <c r="E195" s="17" t="s">
        <v>41</v>
      </c>
      <c r="F195" s="17" t="s">
        <v>39</v>
      </c>
      <c r="G195" s="17" t="n">
        <v>1</v>
      </c>
      <c r="H195" s="19" t="n">
        <v>44.99</v>
      </c>
      <c r="I195" s="19" t="n">
        <f aca="false">G195*H195</f>
        <v>44.99</v>
      </c>
    </row>
    <row r="196" customFormat="false" ht="15" hidden="false" customHeight="false" outlineLevel="0" collapsed="false">
      <c r="A196" s="17" t="n">
        <v>1195</v>
      </c>
      <c r="B196" s="18" t="n">
        <v>45462</v>
      </c>
      <c r="C196" s="17" t="s">
        <v>24</v>
      </c>
      <c r="D196" s="17" t="s">
        <v>35</v>
      </c>
      <c r="E196" s="17" t="s">
        <v>45</v>
      </c>
      <c r="F196" s="17" t="s">
        <v>37</v>
      </c>
      <c r="G196" s="17" t="n">
        <v>3</v>
      </c>
      <c r="H196" s="19" t="n">
        <v>89.99</v>
      </c>
      <c r="I196" s="19" t="n">
        <f aca="false">G196*H196</f>
        <v>269.97</v>
      </c>
    </row>
    <row r="197" customFormat="false" ht="15" hidden="false" customHeight="false" outlineLevel="0" collapsed="false">
      <c r="A197" s="17" t="n">
        <v>1196</v>
      </c>
      <c r="B197" s="18" t="n">
        <v>45462</v>
      </c>
      <c r="C197" s="17" t="s">
        <v>31</v>
      </c>
      <c r="D197" s="17" t="s">
        <v>32</v>
      </c>
      <c r="E197" s="17" t="s">
        <v>46</v>
      </c>
      <c r="F197" s="17" t="s">
        <v>37</v>
      </c>
      <c r="G197" s="17" t="n">
        <v>9</v>
      </c>
      <c r="H197" s="19" t="n">
        <v>129.99</v>
      </c>
      <c r="I197" s="19" t="n">
        <f aca="false">G197*H197</f>
        <v>1169.91</v>
      </c>
    </row>
    <row r="198" customFormat="false" ht="15" hidden="false" customHeight="false" outlineLevel="0" collapsed="false">
      <c r="A198" s="17" t="n">
        <v>1197</v>
      </c>
      <c r="B198" s="18" t="n">
        <v>45464</v>
      </c>
      <c r="C198" s="17" t="s">
        <v>34</v>
      </c>
      <c r="D198" s="17" t="s">
        <v>21</v>
      </c>
      <c r="E198" s="17" t="s">
        <v>40</v>
      </c>
      <c r="F198" s="17" t="s">
        <v>27</v>
      </c>
      <c r="G198" s="17" t="n">
        <v>3</v>
      </c>
      <c r="H198" s="19" t="n">
        <v>69.99</v>
      </c>
      <c r="I198" s="19" t="n">
        <f aca="false">G198*H198</f>
        <v>209.97</v>
      </c>
    </row>
    <row r="199" customFormat="false" ht="15" hidden="false" customHeight="false" outlineLevel="0" collapsed="false">
      <c r="A199" s="17" t="n">
        <v>1198</v>
      </c>
      <c r="B199" s="18" t="n">
        <v>45465</v>
      </c>
      <c r="C199" s="17" t="s">
        <v>24</v>
      </c>
      <c r="D199" s="17" t="s">
        <v>21</v>
      </c>
      <c r="E199" s="17" t="s">
        <v>40</v>
      </c>
      <c r="F199" s="17" t="s">
        <v>27</v>
      </c>
      <c r="G199" s="17" t="n">
        <v>8</v>
      </c>
      <c r="H199" s="19" t="n">
        <v>69.99</v>
      </c>
      <c r="I199" s="19" t="n">
        <f aca="false">G199*H199</f>
        <v>559.92</v>
      </c>
    </row>
    <row r="200" customFormat="false" ht="15" hidden="false" customHeight="false" outlineLevel="0" collapsed="false">
      <c r="A200" s="17" t="n">
        <v>1199</v>
      </c>
      <c r="B200" s="18" t="n">
        <v>45465</v>
      </c>
      <c r="C200" s="17" t="s">
        <v>34</v>
      </c>
      <c r="D200" s="17" t="s">
        <v>32</v>
      </c>
      <c r="E200" s="17" t="s">
        <v>33</v>
      </c>
      <c r="F200" s="17" t="s">
        <v>43</v>
      </c>
      <c r="G200" s="17" t="n">
        <v>3</v>
      </c>
      <c r="H200" s="19" t="n">
        <v>39.99</v>
      </c>
      <c r="I200" s="19" t="n">
        <f aca="false">G200*H200</f>
        <v>119.97</v>
      </c>
    </row>
    <row r="201" customFormat="false" ht="15" hidden="false" customHeight="false" outlineLevel="0" collapsed="false">
      <c r="A201" s="17" t="n">
        <v>1200</v>
      </c>
      <c r="B201" s="18" t="n">
        <v>45465</v>
      </c>
      <c r="C201" s="17" t="s">
        <v>24</v>
      </c>
      <c r="D201" s="17" t="s">
        <v>32</v>
      </c>
      <c r="E201" s="17" t="s">
        <v>33</v>
      </c>
      <c r="F201" s="17" t="s">
        <v>23</v>
      </c>
      <c r="G201" s="17" t="n">
        <v>4</v>
      </c>
      <c r="H201" s="19" t="n">
        <v>39.99</v>
      </c>
      <c r="I201" s="19" t="n">
        <f aca="false">G201*H201</f>
        <v>159.96</v>
      </c>
    </row>
    <row r="202" customFormat="false" ht="15" hidden="false" customHeight="false" outlineLevel="0" collapsed="false">
      <c r="A202" s="17" t="n">
        <v>1201</v>
      </c>
      <c r="B202" s="18" t="n">
        <v>45465</v>
      </c>
      <c r="C202" s="17" t="s">
        <v>20</v>
      </c>
      <c r="D202" s="17" t="s">
        <v>25</v>
      </c>
      <c r="E202" s="17" t="s">
        <v>44</v>
      </c>
      <c r="F202" s="17" t="s">
        <v>23</v>
      </c>
      <c r="G202" s="17" t="n">
        <v>2</v>
      </c>
      <c r="H202" s="19" t="n">
        <v>74.99</v>
      </c>
      <c r="I202" s="19" t="n">
        <f aca="false">G202*H202</f>
        <v>149.98</v>
      </c>
    </row>
    <row r="203" customFormat="false" ht="15" hidden="false" customHeight="false" outlineLevel="0" collapsed="false">
      <c r="A203" s="17" t="n">
        <v>1202</v>
      </c>
      <c r="B203" s="18" t="n">
        <v>45466</v>
      </c>
      <c r="C203" s="17" t="s">
        <v>24</v>
      </c>
      <c r="D203" s="17" t="s">
        <v>25</v>
      </c>
      <c r="E203" s="17" t="s">
        <v>38</v>
      </c>
      <c r="F203" s="17" t="s">
        <v>23</v>
      </c>
      <c r="G203" s="17" t="n">
        <v>6</v>
      </c>
      <c r="H203" s="19" t="n">
        <v>59.99</v>
      </c>
      <c r="I203" s="19" t="n">
        <f aca="false">G203*H203</f>
        <v>359.94</v>
      </c>
    </row>
    <row r="204" customFormat="false" ht="15" hidden="false" customHeight="false" outlineLevel="0" collapsed="false">
      <c r="A204" s="17" t="n">
        <v>1203</v>
      </c>
      <c r="B204" s="18" t="n">
        <v>45468</v>
      </c>
      <c r="C204" s="17" t="s">
        <v>20</v>
      </c>
      <c r="D204" s="17" t="s">
        <v>21</v>
      </c>
      <c r="E204" s="17" t="s">
        <v>22</v>
      </c>
      <c r="F204" s="17" t="s">
        <v>43</v>
      </c>
      <c r="G204" s="17" t="n">
        <v>12</v>
      </c>
      <c r="H204" s="19" t="n">
        <v>24.99</v>
      </c>
      <c r="I204" s="19" t="n">
        <f aca="false">G204*H204</f>
        <v>299.88</v>
      </c>
    </row>
    <row r="205" customFormat="false" ht="15" hidden="false" customHeight="false" outlineLevel="0" collapsed="false">
      <c r="A205" s="17" t="n">
        <v>1204</v>
      </c>
      <c r="B205" s="18" t="n">
        <v>45468</v>
      </c>
      <c r="C205" s="17" t="s">
        <v>20</v>
      </c>
      <c r="D205" s="17" t="s">
        <v>21</v>
      </c>
      <c r="E205" s="17" t="s">
        <v>22</v>
      </c>
      <c r="F205" s="17" t="s">
        <v>27</v>
      </c>
      <c r="G205" s="17" t="n">
        <v>7</v>
      </c>
      <c r="H205" s="19" t="n">
        <v>24.99</v>
      </c>
      <c r="I205" s="19" t="n">
        <f aca="false">G205*H205</f>
        <v>174.93</v>
      </c>
    </row>
    <row r="206" customFormat="false" ht="15" hidden="false" customHeight="false" outlineLevel="0" collapsed="false">
      <c r="A206" s="17" t="n">
        <v>1205</v>
      </c>
      <c r="B206" s="18" t="n">
        <v>45468</v>
      </c>
      <c r="C206" s="17" t="s">
        <v>20</v>
      </c>
      <c r="D206" s="17" t="s">
        <v>35</v>
      </c>
      <c r="E206" s="17" t="s">
        <v>45</v>
      </c>
      <c r="F206" s="17" t="s">
        <v>37</v>
      </c>
      <c r="G206" s="17" t="n">
        <v>12</v>
      </c>
      <c r="H206" s="19" t="n">
        <v>89.99</v>
      </c>
      <c r="I206" s="19" t="n">
        <f aca="false">G206*H206</f>
        <v>1079.88</v>
      </c>
    </row>
    <row r="207" customFormat="false" ht="15" hidden="false" customHeight="false" outlineLevel="0" collapsed="false">
      <c r="A207" s="17" t="n">
        <v>1206</v>
      </c>
      <c r="B207" s="18" t="n">
        <v>45468</v>
      </c>
      <c r="C207" s="17" t="s">
        <v>24</v>
      </c>
      <c r="D207" s="17" t="s">
        <v>32</v>
      </c>
      <c r="E207" s="17" t="s">
        <v>46</v>
      </c>
      <c r="F207" s="17" t="s">
        <v>23</v>
      </c>
      <c r="G207" s="17" t="n">
        <v>7</v>
      </c>
      <c r="H207" s="19" t="n">
        <v>129.99</v>
      </c>
      <c r="I207" s="19" t="n">
        <f aca="false">G207*H207</f>
        <v>909.93</v>
      </c>
    </row>
    <row r="208" customFormat="false" ht="15" hidden="false" customHeight="false" outlineLevel="0" collapsed="false">
      <c r="A208" s="17" t="n">
        <v>1207</v>
      </c>
      <c r="B208" s="18" t="n">
        <v>45469</v>
      </c>
      <c r="C208" s="17" t="s">
        <v>34</v>
      </c>
      <c r="D208" s="17" t="s">
        <v>35</v>
      </c>
      <c r="E208" s="17" t="s">
        <v>41</v>
      </c>
      <c r="F208" s="17" t="s">
        <v>27</v>
      </c>
      <c r="G208" s="17" t="n">
        <v>6</v>
      </c>
      <c r="H208" s="19" t="n">
        <v>44.99</v>
      </c>
      <c r="I208" s="19" t="n">
        <f aca="false">G208*H208</f>
        <v>269.94</v>
      </c>
    </row>
    <row r="209" customFormat="false" ht="15" hidden="false" customHeight="false" outlineLevel="0" collapsed="false">
      <c r="A209" s="17" t="n">
        <v>1208</v>
      </c>
      <c r="B209" s="18" t="n">
        <v>45470</v>
      </c>
      <c r="C209" s="17" t="s">
        <v>20</v>
      </c>
      <c r="D209" s="17" t="s">
        <v>35</v>
      </c>
      <c r="E209" s="17" t="s">
        <v>45</v>
      </c>
      <c r="F209" s="17" t="s">
        <v>37</v>
      </c>
      <c r="G209" s="17" t="n">
        <v>11</v>
      </c>
      <c r="H209" s="19" t="n">
        <v>89.99</v>
      </c>
      <c r="I209" s="19" t="n">
        <f aca="false">G209*H209</f>
        <v>989.89</v>
      </c>
    </row>
    <row r="210" customFormat="false" ht="15" hidden="false" customHeight="false" outlineLevel="0" collapsed="false">
      <c r="A210" s="17" t="n">
        <v>1209</v>
      </c>
      <c r="B210" s="18" t="n">
        <v>45471</v>
      </c>
      <c r="C210" s="17" t="s">
        <v>31</v>
      </c>
      <c r="D210" s="17" t="s">
        <v>35</v>
      </c>
      <c r="E210" s="17" t="s">
        <v>36</v>
      </c>
      <c r="F210" s="17" t="s">
        <v>27</v>
      </c>
      <c r="G210" s="17" t="n">
        <v>6</v>
      </c>
      <c r="H210" s="19" t="n">
        <v>54.99</v>
      </c>
      <c r="I210" s="19" t="n">
        <f aca="false">G210*H210</f>
        <v>329.94</v>
      </c>
    </row>
    <row r="211" customFormat="false" ht="15" hidden="false" customHeight="false" outlineLevel="0" collapsed="false">
      <c r="A211" s="17" t="n">
        <v>1210</v>
      </c>
      <c r="B211" s="18" t="n">
        <v>45472</v>
      </c>
      <c r="C211" s="17" t="s">
        <v>34</v>
      </c>
      <c r="D211" s="17" t="s">
        <v>25</v>
      </c>
      <c r="E211" s="17" t="s">
        <v>38</v>
      </c>
      <c r="F211" s="17" t="s">
        <v>39</v>
      </c>
      <c r="G211" s="17" t="n">
        <v>9</v>
      </c>
      <c r="H211" s="19" t="n">
        <v>59.99</v>
      </c>
      <c r="I211" s="19" t="n">
        <f aca="false">G211*H211</f>
        <v>539.91</v>
      </c>
    </row>
    <row r="212" customFormat="false" ht="15" hidden="false" customHeight="false" outlineLevel="0" collapsed="false">
      <c r="A212" s="17" t="n">
        <v>1211</v>
      </c>
      <c r="B212" s="18" t="n">
        <v>45473</v>
      </c>
      <c r="C212" s="17" t="s">
        <v>20</v>
      </c>
      <c r="D212" s="17" t="s">
        <v>25</v>
      </c>
      <c r="E212" s="17" t="s">
        <v>44</v>
      </c>
      <c r="F212" s="17" t="s">
        <v>27</v>
      </c>
      <c r="G212" s="17" t="n">
        <v>11</v>
      </c>
      <c r="H212" s="19" t="n">
        <v>74.99</v>
      </c>
      <c r="I212" s="19" t="n">
        <f aca="false">G212*H212</f>
        <v>824.89</v>
      </c>
    </row>
    <row r="213" customFormat="false" ht="15" hidden="false" customHeight="false" outlineLevel="0" collapsed="false">
      <c r="A213" s="17" t="n">
        <v>1212</v>
      </c>
      <c r="B213" s="18" t="n">
        <v>45475</v>
      </c>
      <c r="C213" s="17" t="s">
        <v>20</v>
      </c>
      <c r="D213" s="17" t="s">
        <v>21</v>
      </c>
      <c r="E213" s="17" t="s">
        <v>22</v>
      </c>
      <c r="F213" s="17" t="s">
        <v>27</v>
      </c>
      <c r="G213" s="17" t="n">
        <v>5</v>
      </c>
      <c r="H213" s="19" t="n">
        <v>24.99</v>
      </c>
      <c r="I213" s="19" t="n">
        <f aca="false">G213*H213</f>
        <v>124.95</v>
      </c>
    </row>
    <row r="214" customFormat="false" ht="15" hidden="false" customHeight="false" outlineLevel="0" collapsed="false">
      <c r="A214" s="17" t="n">
        <v>1213</v>
      </c>
      <c r="B214" s="18" t="n">
        <v>45475</v>
      </c>
      <c r="C214" s="17" t="s">
        <v>34</v>
      </c>
      <c r="D214" s="17" t="s">
        <v>32</v>
      </c>
      <c r="E214" s="17" t="s">
        <v>42</v>
      </c>
      <c r="F214" s="17" t="s">
        <v>37</v>
      </c>
      <c r="G214" s="17" t="n">
        <v>4</v>
      </c>
      <c r="H214" s="19" t="n">
        <v>49.99</v>
      </c>
      <c r="I214" s="19" t="n">
        <f aca="false">G214*H214</f>
        <v>199.96</v>
      </c>
    </row>
    <row r="215" customFormat="false" ht="15" hidden="false" customHeight="false" outlineLevel="0" collapsed="false">
      <c r="A215" s="17" t="n">
        <v>1214</v>
      </c>
      <c r="B215" s="18" t="n">
        <v>45475</v>
      </c>
      <c r="C215" s="17" t="s">
        <v>34</v>
      </c>
      <c r="D215" s="17" t="s">
        <v>25</v>
      </c>
      <c r="E215" s="17" t="s">
        <v>26</v>
      </c>
      <c r="F215" s="17" t="s">
        <v>23</v>
      </c>
      <c r="G215" s="17" t="n">
        <v>4</v>
      </c>
      <c r="H215" s="19" t="n">
        <v>19.99</v>
      </c>
      <c r="I215" s="19" t="n">
        <f aca="false">G215*H215</f>
        <v>79.96</v>
      </c>
    </row>
    <row r="216" customFormat="false" ht="15" hidden="false" customHeight="false" outlineLevel="0" collapsed="false">
      <c r="A216" s="17" t="n">
        <v>1215</v>
      </c>
      <c r="B216" s="18" t="n">
        <v>45477</v>
      </c>
      <c r="C216" s="17" t="s">
        <v>31</v>
      </c>
      <c r="D216" s="17" t="s">
        <v>35</v>
      </c>
      <c r="E216" s="17" t="s">
        <v>41</v>
      </c>
      <c r="F216" s="17" t="s">
        <v>39</v>
      </c>
      <c r="G216" s="17" t="n">
        <v>9</v>
      </c>
      <c r="H216" s="19" t="n">
        <v>44.99</v>
      </c>
      <c r="I216" s="19" t="n">
        <f aca="false">G216*H216</f>
        <v>404.91</v>
      </c>
    </row>
    <row r="217" customFormat="false" ht="15" hidden="false" customHeight="false" outlineLevel="0" collapsed="false">
      <c r="A217" s="17" t="n">
        <v>1216</v>
      </c>
      <c r="B217" s="18" t="n">
        <v>45477</v>
      </c>
      <c r="C217" s="17" t="s">
        <v>34</v>
      </c>
      <c r="D217" s="17" t="s">
        <v>21</v>
      </c>
      <c r="E217" s="17" t="s">
        <v>22</v>
      </c>
      <c r="F217" s="17" t="s">
        <v>27</v>
      </c>
      <c r="G217" s="17" t="n">
        <v>8</v>
      </c>
      <c r="H217" s="19" t="n">
        <v>24.99</v>
      </c>
      <c r="I217" s="19" t="n">
        <f aca="false">G217*H217</f>
        <v>199.92</v>
      </c>
    </row>
    <row r="218" customFormat="false" ht="15" hidden="false" customHeight="false" outlineLevel="0" collapsed="false">
      <c r="A218" s="17" t="n">
        <v>1217</v>
      </c>
      <c r="B218" s="18" t="n">
        <v>45478</v>
      </c>
      <c r="C218" s="17" t="s">
        <v>24</v>
      </c>
      <c r="D218" s="17" t="s">
        <v>28</v>
      </c>
      <c r="E218" s="17" t="s">
        <v>29</v>
      </c>
      <c r="F218" s="17" t="s">
        <v>43</v>
      </c>
      <c r="G218" s="17" t="n">
        <v>5</v>
      </c>
      <c r="H218" s="19" t="n">
        <v>14.99</v>
      </c>
      <c r="I218" s="19" t="n">
        <f aca="false">G218*H218</f>
        <v>74.95</v>
      </c>
    </row>
    <row r="219" customFormat="false" ht="15" hidden="false" customHeight="false" outlineLevel="0" collapsed="false">
      <c r="A219" s="17" t="n">
        <v>1218</v>
      </c>
      <c r="B219" s="18" t="n">
        <v>45478</v>
      </c>
      <c r="C219" s="17" t="s">
        <v>20</v>
      </c>
      <c r="D219" s="17" t="s">
        <v>32</v>
      </c>
      <c r="E219" s="17" t="s">
        <v>42</v>
      </c>
      <c r="F219" s="17" t="s">
        <v>23</v>
      </c>
      <c r="G219" s="17" t="n">
        <v>11</v>
      </c>
      <c r="H219" s="19" t="n">
        <v>49.99</v>
      </c>
      <c r="I219" s="19" t="n">
        <f aca="false">G219*H219</f>
        <v>549.89</v>
      </c>
    </row>
    <row r="220" customFormat="false" ht="15" hidden="false" customHeight="false" outlineLevel="0" collapsed="false">
      <c r="A220" s="17" t="n">
        <v>1219</v>
      </c>
      <c r="B220" s="18" t="n">
        <v>45480</v>
      </c>
      <c r="C220" s="17" t="s">
        <v>20</v>
      </c>
      <c r="D220" s="17" t="s">
        <v>32</v>
      </c>
      <c r="E220" s="17" t="s">
        <v>33</v>
      </c>
      <c r="F220" s="17" t="s">
        <v>30</v>
      </c>
      <c r="G220" s="17" t="n">
        <v>4</v>
      </c>
      <c r="H220" s="19" t="n">
        <v>39.99</v>
      </c>
      <c r="I220" s="19" t="n">
        <f aca="false">G220*H220</f>
        <v>159.96</v>
      </c>
    </row>
    <row r="221" customFormat="false" ht="15" hidden="false" customHeight="false" outlineLevel="0" collapsed="false">
      <c r="A221" s="17" t="n">
        <v>1220</v>
      </c>
      <c r="B221" s="18" t="n">
        <v>45481</v>
      </c>
      <c r="C221" s="17" t="s">
        <v>20</v>
      </c>
      <c r="D221" s="17" t="s">
        <v>25</v>
      </c>
      <c r="E221" s="17" t="s">
        <v>38</v>
      </c>
      <c r="F221" s="17" t="s">
        <v>30</v>
      </c>
      <c r="G221" s="17" t="n">
        <v>10</v>
      </c>
      <c r="H221" s="19" t="n">
        <v>59.99</v>
      </c>
      <c r="I221" s="19" t="n">
        <f aca="false">G221*H221</f>
        <v>599.9</v>
      </c>
    </row>
    <row r="222" customFormat="false" ht="15" hidden="false" customHeight="false" outlineLevel="0" collapsed="false">
      <c r="A222" s="17" t="n">
        <v>1221</v>
      </c>
      <c r="B222" s="18" t="n">
        <v>45482</v>
      </c>
      <c r="C222" s="17" t="s">
        <v>31</v>
      </c>
      <c r="D222" s="17" t="s">
        <v>35</v>
      </c>
      <c r="E222" s="17" t="s">
        <v>41</v>
      </c>
      <c r="F222" s="17" t="s">
        <v>27</v>
      </c>
      <c r="G222" s="17" t="n">
        <v>9</v>
      </c>
      <c r="H222" s="19" t="n">
        <v>44.99</v>
      </c>
      <c r="I222" s="19" t="n">
        <f aca="false">G222*H222</f>
        <v>404.91</v>
      </c>
    </row>
    <row r="223" customFormat="false" ht="15" hidden="false" customHeight="false" outlineLevel="0" collapsed="false">
      <c r="A223" s="17" t="n">
        <v>1222</v>
      </c>
      <c r="B223" s="18" t="n">
        <v>45484</v>
      </c>
      <c r="C223" s="17" t="s">
        <v>24</v>
      </c>
      <c r="D223" s="17" t="s">
        <v>35</v>
      </c>
      <c r="E223" s="17" t="s">
        <v>45</v>
      </c>
      <c r="F223" s="17" t="s">
        <v>43</v>
      </c>
      <c r="G223" s="17" t="n">
        <v>10</v>
      </c>
      <c r="H223" s="19" t="n">
        <v>89.99</v>
      </c>
      <c r="I223" s="19" t="n">
        <f aca="false">G223*H223</f>
        <v>899.9</v>
      </c>
    </row>
    <row r="224" customFormat="false" ht="15" hidden="false" customHeight="false" outlineLevel="0" collapsed="false">
      <c r="A224" s="17" t="n">
        <v>1223</v>
      </c>
      <c r="B224" s="18" t="n">
        <v>45484</v>
      </c>
      <c r="C224" s="17" t="s">
        <v>34</v>
      </c>
      <c r="D224" s="17" t="s">
        <v>35</v>
      </c>
      <c r="E224" s="17" t="s">
        <v>45</v>
      </c>
      <c r="F224" s="17" t="s">
        <v>37</v>
      </c>
      <c r="G224" s="17" t="n">
        <v>3</v>
      </c>
      <c r="H224" s="19" t="n">
        <v>89.99</v>
      </c>
      <c r="I224" s="19" t="n">
        <f aca="false">G224*H224</f>
        <v>269.97</v>
      </c>
    </row>
    <row r="225" customFormat="false" ht="15" hidden="false" customHeight="false" outlineLevel="0" collapsed="false">
      <c r="A225" s="17" t="n">
        <v>1224</v>
      </c>
      <c r="B225" s="18" t="n">
        <v>45486</v>
      </c>
      <c r="C225" s="17" t="s">
        <v>24</v>
      </c>
      <c r="D225" s="17" t="s">
        <v>21</v>
      </c>
      <c r="E225" s="17" t="s">
        <v>40</v>
      </c>
      <c r="F225" s="17" t="s">
        <v>30</v>
      </c>
      <c r="G225" s="17" t="n">
        <v>10</v>
      </c>
      <c r="H225" s="19" t="n">
        <v>69.99</v>
      </c>
      <c r="I225" s="19" t="n">
        <f aca="false">G225*H225</f>
        <v>699.9</v>
      </c>
    </row>
    <row r="226" customFormat="false" ht="15" hidden="false" customHeight="false" outlineLevel="0" collapsed="false">
      <c r="A226" s="17" t="n">
        <v>1225</v>
      </c>
      <c r="B226" s="18" t="n">
        <v>45486</v>
      </c>
      <c r="C226" s="17" t="s">
        <v>24</v>
      </c>
      <c r="D226" s="17" t="s">
        <v>35</v>
      </c>
      <c r="E226" s="17" t="s">
        <v>41</v>
      </c>
      <c r="F226" s="17" t="s">
        <v>30</v>
      </c>
      <c r="G226" s="17" t="n">
        <v>9</v>
      </c>
      <c r="H226" s="19" t="n">
        <v>44.99</v>
      </c>
      <c r="I226" s="19" t="n">
        <f aca="false">G226*H226</f>
        <v>404.91</v>
      </c>
    </row>
    <row r="227" customFormat="false" ht="15" hidden="false" customHeight="false" outlineLevel="0" collapsed="false">
      <c r="A227" s="17" t="n">
        <v>1226</v>
      </c>
      <c r="B227" s="18" t="n">
        <v>45487</v>
      </c>
      <c r="C227" s="17" t="s">
        <v>34</v>
      </c>
      <c r="D227" s="17" t="s">
        <v>35</v>
      </c>
      <c r="E227" s="17" t="s">
        <v>41</v>
      </c>
      <c r="F227" s="17" t="s">
        <v>23</v>
      </c>
      <c r="G227" s="17" t="n">
        <v>4</v>
      </c>
      <c r="H227" s="19" t="n">
        <v>44.99</v>
      </c>
      <c r="I227" s="19" t="n">
        <f aca="false">G227*H227</f>
        <v>179.96</v>
      </c>
    </row>
    <row r="228" customFormat="false" ht="15" hidden="false" customHeight="false" outlineLevel="0" collapsed="false">
      <c r="A228" s="17" t="n">
        <v>1227</v>
      </c>
      <c r="B228" s="18" t="n">
        <v>45488</v>
      </c>
      <c r="C228" s="17" t="s">
        <v>34</v>
      </c>
      <c r="D228" s="17" t="s">
        <v>35</v>
      </c>
      <c r="E228" s="17" t="s">
        <v>36</v>
      </c>
      <c r="F228" s="17" t="s">
        <v>23</v>
      </c>
      <c r="G228" s="17" t="n">
        <v>3</v>
      </c>
      <c r="H228" s="19" t="n">
        <v>54.99</v>
      </c>
      <c r="I228" s="19" t="n">
        <f aca="false">G228*H228</f>
        <v>164.97</v>
      </c>
    </row>
    <row r="229" customFormat="false" ht="15" hidden="false" customHeight="false" outlineLevel="0" collapsed="false">
      <c r="A229" s="17" t="n">
        <v>1228</v>
      </c>
      <c r="B229" s="18" t="n">
        <v>45489</v>
      </c>
      <c r="C229" s="17" t="s">
        <v>24</v>
      </c>
      <c r="D229" s="17" t="s">
        <v>21</v>
      </c>
      <c r="E229" s="17" t="s">
        <v>40</v>
      </c>
      <c r="F229" s="17" t="s">
        <v>39</v>
      </c>
      <c r="G229" s="17" t="n">
        <v>1</v>
      </c>
      <c r="H229" s="19" t="n">
        <v>69.99</v>
      </c>
      <c r="I229" s="19" t="n">
        <f aca="false">G229*H229</f>
        <v>69.99</v>
      </c>
    </row>
    <row r="230" customFormat="false" ht="15" hidden="false" customHeight="false" outlineLevel="0" collapsed="false">
      <c r="A230" s="17" t="n">
        <v>1229</v>
      </c>
      <c r="B230" s="18" t="n">
        <v>45490</v>
      </c>
      <c r="C230" s="17" t="s">
        <v>31</v>
      </c>
      <c r="D230" s="17" t="s">
        <v>35</v>
      </c>
      <c r="E230" s="17" t="s">
        <v>41</v>
      </c>
      <c r="F230" s="17" t="s">
        <v>37</v>
      </c>
      <c r="G230" s="17" t="n">
        <v>5</v>
      </c>
      <c r="H230" s="19" t="n">
        <v>44.99</v>
      </c>
      <c r="I230" s="19" t="n">
        <f aca="false">G230*H230</f>
        <v>224.95</v>
      </c>
    </row>
    <row r="231" customFormat="false" ht="15" hidden="false" customHeight="false" outlineLevel="0" collapsed="false">
      <c r="A231" s="17" t="n">
        <v>1230</v>
      </c>
      <c r="B231" s="18" t="n">
        <v>45490</v>
      </c>
      <c r="C231" s="17" t="s">
        <v>20</v>
      </c>
      <c r="D231" s="17" t="s">
        <v>35</v>
      </c>
      <c r="E231" s="17" t="s">
        <v>36</v>
      </c>
      <c r="F231" s="17" t="s">
        <v>27</v>
      </c>
      <c r="G231" s="17" t="n">
        <v>12</v>
      </c>
      <c r="H231" s="19" t="n">
        <v>54.99</v>
      </c>
      <c r="I231" s="19" t="n">
        <f aca="false">G231*H231</f>
        <v>659.88</v>
      </c>
    </row>
    <row r="232" customFormat="false" ht="15" hidden="false" customHeight="false" outlineLevel="0" collapsed="false">
      <c r="A232" s="17" t="n">
        <v>1231</v>
      </c>
      <c r="B232" s="18" t="n">
        <v>45495</v>
      </c>
      <c r="C232" s="17" t="s">
        <v>34</v>
      </c>
      <c r="D232" s="17" t="s">
        <v>35</v>
      </c>
      <c r="E232" s="17" t="s">
        <v>41</v>
      </c>
      <c r="F232" s="17" t="s">
        <v>37</v>
      </c>
      <c r="G232" s="17" t="n">
        <v>1</v>
      </c>
      <c r="H232" s="19" t="n">
        <v>44.99</v>
      </c>
      <c r="I232" s="19" t="n">
        <f aca="false">G232*H232</f>
        <v>44.99</v>
      </c>
    </row>
    <row r="233" customFormat="false" ht="15" hidden="false" customHeight="false" outlineLevel="0" collapsed="false">
      <c r="A233" s="17" t="n">
        <v>1232</v>
      </c>
      <c r="B233" s="18" t="n">
        <v>45495</v>
      </c>
      <c r="C233" s="17" t="s">
        <v>20</v>
      </c>
      <c r="D233" s="17" t="s">
        <v>25</v>
      </c>
      <c r="E233" s="17" t="s">
        <v>26</v>
      </c>
      <c r="F233" s="17" t="s">
        <v>23</v>
      </c>
      <c r="G233" s="17" t="n">
        <v>2</v>
      </c>
      <c r="H233" s="19" t="n">
        <v>19.99</v>
      </c>
      <c r="I233" s="19" t="n">
        <f aca="false">G233*H233</f>
        <v>39.98</v>
      </c>
    </row>
    <row r="234" customFormat="false" ht="15" hidden="false" customHeight="false" outlineLevel="0" collapsed="false">
      <c r="A234" s="17" t="n">
        <v>1233</v>
      </c>
      <c r="B234" s="18" t="n">
        <v>45495</v>
      </c>
      <c r="C234" s="17" t="s">
        <v>34</v>
      </c>
      <c r="D234" s="17" t="s">
        <v>28</v>
      </c>
      <c r="E234" s="17" t="s">
        <v>29</v>
      </c>
      <c r="F234" s="17" t="s">
        <v>30</v>
      </c>
      <c r="G234" s="17" t="n">
        <v>7</v>
      </c>
      <c r="H234" s="19" t="n">
        <v>14.99</v>
      </c>
      <c r="I234" s="19" t="n">
        <f aca="false">G234*H234</f>
        <v>104.93</v>
      </c>
    </row>
    <row r="235" customFormat="false" ht="15" hidden="false" customHeight="false" outlineLevel="0" collapsed="false">
      <c r="A235" s="17" t="n">
        <v>1234</v>
      </c>
      <c r="B235" s="18" t="n">
        <v>45496</v>
      </c>
      <c r="C235" s="17" t="s">
        <v>34</v>
      </c>
      <c r="D235" s="17" t="s">
        <v>28</v>
      </c>
      <c r="E235" s="17" t="s">
        <v>29</v>
      </c>
      <c r="F235" s="17" t="s">
        <v>39</v>
      </c>
      <c r="G235" s="17" t="n">
        <v>6</v>
      </c>
      <c r="H235" s="19" t="n">
        <v>14.99</v>
      </c>
      <c r="I235" s="19" t="n">
        <f aca="false">G235*H235</f>
        <v>89.94</v>
      </c>
    </row>
    <row r="236" customFormat="false" ht="15" hidden="false" customHeight="false" outlineLevel="0" collapsed="false">
      <c r="A236" s="17" t="n">
        <v>1235</v>
      </c>
      <c r="B236" s="18" t="n">
        <v>45497</v>
      </c>
      <c r="C236" s="17" t="s">
        <v>31</v>
      </c>
      <c r="D236" s="17" t="s">
        <v>35</v>
      </c>
      <c r="E236" s="17" t="s">
        <v>36</v>
      </c>
      <c r="F236" s="17" t="s">
        <v>30</v>
      </c>
      <c r="G236" s="17" t="n">
        <v>11</v>
      </c>
      <c r="H236" s="19" t="n">
        <v>54.99</v>
      </c>
      <c r="I236" s="19" t="n">
        <f aca="false">G236*H236</f>
        <v>604.89</v>
      </c>
    </row>
    <row r="237" customFormat="false" ht="15" hidden="false" customHeight="false" outlineLevel="0" collapsed="false">
      <c r="A237" s="17" t="n">
        <v>1236</v>
      </c>
      <c r="B237" s="18" t="n">
        <v>45500</v>
      </c>
      <c r="C237" s="17" t="s">
        <v>24</v>
      </c>
      <c r="D237" s="17" t="s">
        <v>21</v>
      </c>
      <c r="E237" s="17" t="s">
        <v>22</v>
      </c>
      <c r="F237" s="17" t="s">
        <v>23</v>
      </c>
      <c r="G237" s="17" t="n">
        <v>3</v>
      </c>
      <c r="H237" s="19" t="n">
        <v>24.99</v>
      </c>
      <c r="I237" s="19" t="n">
        <f aca="false">G237*H237</f>
        <v>74.97</v>
      </c>
    </row>
    <row r="238" customFormat="false" ht="15" hidden="false" customHeight="false" outlineLevel="0" collapsed="false">
      <c r="A238" s="17" t="n">
        <v>1237</v>
      </c>
      <c r="B238" s="18" t="n">
        <v>45500</v>
      </c>
      <c r="C238" s="17" t="s">
        <v>31</v>
      </c>
      <c r="D238" s="17" t="s">
        <v>25</v>
      </c>
      <c r="E238" s="17" t="s">
        <v>44</v>
      </c>
      <c r="F238" s="17" t="s">
        <v>43</v>
      </c>
      <c r="G238" s="17" t="n">
        <v>11</v>
      </c>
      <c r="H238" s="19" t="n">
        <v>74.99</v>
      </c>
      <c r="I238" s="19" t="n">
        <f aca="false">G238*H238</f>
        <v>824.89</v>
      </c>
    </row>
    <row r="239" customFormat="false" ht="15" hidden="false" customHeight="false" outlineLevel="0" collapsed="false">
      <c r="A239" s="17" t="n">
        <v>1238</v>
      </c>
      <c r="B239" s="18" t="n">
        <v>45500</v>
      </c>
      <c r="C239" s="17" t="s">
        <v>31</v>
      </c>
      <c r="D239" s="17" t="s">
        <v>25</v>
      </c>
      <c r="E239" s="17" t="s">
        <v>38</v>
      </c>
      <c r="F239" s="17" t="s">
        <v>27</v>
      </c>
      <c r="G239" s="17" t="n">
        <v>6</v>
      </c>
      <c r="H239" s="19" t="n">
        <v>59.99</v>
      </c>
      <c r="I239" s="19" t="n">
        <f aca="false">G239*H239</f>
        <v>359.94</v>
      </c>
    </row>
    <row r="240" customFormat="false" ht="15" hidden="false" customHeight="false" outlineLevel="0" collapsed="false">
      <c r="A240" s="17" t="n">
        <v>1239</v>
      </c>
      <c r="B240" s="18" t="n">
        <v>45501</v>
      </c>
      <c r="C240" s="17" t="s">
        <v>34</v>
      </c>
      <c r="D240" s="17" t="s">
        <v>35</v>
      </c>
      <c r="E240" s="17" t="s">
        <v>36</v>
      </c>
      <c r="F240" s="17" t="s">
        <v>37</v>
      </c>
      <c r="G240" s="17" t="n">
        <v>1</v>
      </c>
      <c r="H240" s="19" t="n">
        <v>54.99</v>
      </c>
      <c r="I240" s="19" t="n">
        <f aca="false">G240*H240</f>
        <v>54.99</v>
      </c>
    </row>
    <row r="241" customFormat="false" ht="15" hidden="false" customHeight="false" outlineLevel="0" collapsed="false">
      <c r="A241" s="17" t="n">
        <v>1240</v>
      </c>
      <c r="B241" s="18" t="n">
        <v>45501</v>
      </c>
      <c r="C241" s="17" t="s">
        <v>31</v>
      </c>
      <c r="D241" s="17" t="s">
        <v>21</v>
      </c>
      <c r="E241" s="17" t="s">
        <v>22</v>
      </c>
      <c r="F241" s="17" t="s">
        <v>23</v>
      </c>
      <c r="G241" s="17" t="n">
        <v>6</v>
      </c>
      <c r="H241" s="19" t="n">
        <v>24.99</v>
      </c>
      <c r="I241" s="19" t="n">
        <f aca="false">G241*H241</f>
        <v>149.94</v>
      </c>
    </row>
    <row r="242" customFormat="false" ht="15" hidden="false" customHeight="false" outlineLevel="0" collapsed="false">
      <c r="A242" s="17" t="n">
        <v>1241</v>
      </c>
      <c r="B242" s="18" t="n">
        <v>45501</v>
      </c>
      <c r="C242" s="17" t="s">
        <v>34</v>
      </c>
      <c r="D242" s="17" t="s">
        <v>25</v>
      </c>
      <c r="E242" s="17" t="s">
        <v>26</v>
      </c>
      <c r="F242" s="17" t="s">
        <v>27</v>
      </c>
      <c r="G242" s="17" t="n">
        <v>5</v>
      </c>
      <c r="H242" s="19" t="n">
        <v>19.99</v>
      </c>
      <c r="I242" s="19" t="n">
        <f aca="false">G242*H242</f>
        <v>99.95</v>
      </c>
    </row>
    <row r="243" customFormat="false" ht="15" hidden="false" customHeight="false" outlineLevel="0" collapsed="false">
      <c r="A243" s="17" t="n">
        <v>1242</v>
      </c>
      <c r="B243" s="18" t="n">
        <v>45502</v>
      </c>
      <c r="C243" s="17" t="s">
        <v>24</v>
      </c>
      <c r="D243" s="17" t="s">
        <v>25</v>
      </c>
      <c r="E243" s="17" t="s">
        <v>26</v>
      </c>
      <c r="F243" s="17" t="s">
        <v>39</v>
      </c>
      <c r="G243" s="17" t="n">
        <v>10</v>
      </c>
      <c r="H243" s="19" t="n">
        <v>19.99</v>
      </c>
      <c r="I243" s="19" t="n">
        <f aca="false">G243*H243</f>
        <v>199.9</v>
      </c>
    </row>
    <row r="244" customFormat="false" ht="15" hidden="false" customHeight="false" outlineLevel="0" collapsed="false">
      <c r="A244" s="17" t="n">
        <v>1243</v>
      </c>
      <c r="B244" s="18" t="n">
        <v>45502</v>
      </c>
      <c r="C244" s="17" t="s">
        <v>34</v>
      </c>
      <c r="D244" s="17" t="s">
        <v>25</v>
      </c>
      <c r="E244" s="17" t="s">
        <v>26</v>
      </c>
      <c r="F244" s="17" t="s">
        <v>27</v>
      </c>
      <c r="G244" s="17" t="n">
        <v>1</v>
      </c>
      <c r="H244" s="19" t="n">
        <v>19.99</v>
      </c>
      <c r="I244" s="19" t="n">
        <f aca="false">G244*H244</f>
        <v>19.99</v>
      </c>
    </row>
    <row r="245" customFormat="false" ht="15" hidden="false" customHeight="false" outlineLevel="0" collapsed="false">
      <c r="A245" s="17" t="n">
        <v>1244</v>
      </c>
      <c r="B245" s="18" t="n">
        <v>45504</v>
      </c>
      <c r="C245" s="17" t="s">
        <v>20</v>
      </c>
      <c r="D245" s="17" t="s">
        <v>25</v>
      </c>
      <c r="E245" s="17" t="s">
        <v>26</v>
      </c>
      <c r="F245" s="17" t="s">
        <v>43</v>
      </c>
      <c r="G245" s="17" t="n">
        <v>5</v>
      </c>
      <c r="H245" s="19" t="n">
        <v>19.99</v>
      </c>
      <c r="I245" s="19" t="n">
        <f aca="false">G245*H245</f>
        <v>99.95</v>
      </c>
    </row>
    <row r="246" customFormat="false" ht="15" hidden="false" customHeight="false" outlineLevel="0" collapsed="false">
      <c r="A246" s="17" t="n">
        <v>1245</v>
      </c>
      <c r="B246" s="18" t="n">
        <v>45504</v>
      </c>
      <c r="C246" s="17" t="s">
        <v>31</v>
      </c>
      <c r="D246" s="17" t="s">
        <v>28</v>
      </c>
      <c r="E246" s="17" t="s">
        <v>29</v>
      </c>
      <c r="F246" s="17" t="s">
        <v>37</v>
      </c>
      <c r="G246" s="17" t="n">
        <v>7</v>
      </c>
      <c r="H246" s="19" t="n">
        <v>14.99</v>
      </c>
      <c r="I246" s="19" t="n">
        <f aca="false">G246*H246</f>
        <v>104.93</v>
      </c>
    </row>
    <row r="247" customFormat="false" ht="15" hidden="false" customHeight="false" outlineLevel="0" collapsed="false">
      <c r="A247" s="17" t="n">
        <v>1246</v>
      </c>
      <c r="B247" s="18" t="n">
        <v>45505</v>
      </c>
      <c r="C247" s="17" t="s">
        <v>31</v>
      </c>
      <c r="D247" s="17" t="s">
        <v>32</v>
      </c>
      <c r="E247" s="17" t="s">
        <v>46</v>
      </c>
      <c r="F247" s="17" t="s">
        <v>30</v>
      </c>
      <c r="G247" s="17" t="n">
        <v>6</v>
      </c>
      <c r="H247" s="19" t="n">
        <v>129.99</v>
      </c>
      <c r="I247" s="19" t="n">
        <f aca="false">G247*H247</f>
        <v>779.94</v>
      </c>
    </row>
    <row r="248" customFormat="false" ht="15" hidden="false" customHeight="false" outlineLevel="0" collapsed="false">
      <c r="A248" s="17" t="n">
        <v>1247</v>
      </c>
      <c r="B248" s="18" t="n">
        <v>45505</v>
      </c>
      <c r="C248" s="17" t="s">
        <v>31</v>
      </c>
      <c r="D248" s="17" t="s">
        <v>25</v>
      </c>
      <c r="E248" s="17" t="s">
        <v>38</v>
      </c>
      <c r="F248" s="17" t="s">
        <v>39</v>
      </c>
      <c r="G248" s="17" t="n">
        <v>1</v>
      </c>
      <c r="H248" s="19" t="n">
        <v>59.99</v>
      </c>
      <c r="I248" s="19" t="n">
        <f aca="false">G248*H248</f>
        <v>59.99</v>
      </c>
    </row>
    <row r="249" customFormat="false" ht="15" hidden="false" customHeight="false" outlineLevel="0" collapsed="false">
      <c r="A249" s="17" t="n">
        <v>1248</v>
      </c>
      <c r="B249" s="18" t="n">
        <v>45506</v>
      </c>
      <c r="C249" s="17" t="s">
        <v>20</v>
      </c>
      <c r="D249" s="17" t="s">
        <v>21</v>
      </c>
      <c r="E249" s="17" t="s">
        <v>40</v>
      </c>
      <c r="F249" s="17" t="s">
        <v>37</v>
      </c>
      <c r="G249" s="17" t="n">
        <v>4</v>
      </c>
      <c r="H249" s="19" t="n">
        <v>69.99</v>
      </c>
      <c r="I249" s="19" t="n">
        <f aca="false">G249*H249</f>
        <v>279.96</v>
      </c>
    </row>
    <row r="250" customFormat="false" ht="15" hidden="false" customHeight="false" outlineLevel="0" collapsed="false">
      <c r="A250" s="17" t="n">
        <v>1249</v>
      </c>
      <c r="B250" s="18" t="n">
        <v>45508</v>
      </c>
      <c r="C250" s="17" t="s">
        <v>20</v>
      </c>
      <c r="D250" s="17" t="s">
        <v>35</v>
      </c>
      <c r="E250" s="17" t="s">
        <v>41</v>
      </c>
      <c r="F250" s="17" t="s">
        <v>43</v>
      </c>
      <c r="G250" s="17" t="n">
        <v>6</v>
      </c>
      <c r="H250" s="19" t="n">
        <v>44.99</v>
      </c>
      <c r="I250" s="19" t="n">
        <f aca="false">G250*H250</f>
        <v>269.94</v>
      </c>
    </row>
    <row r="251" customFormat="false" ht="15" hidden="false" customHeight="false" outlineLevel="0" collapsed="false">
      <c r="A251" s="17" t="n">
        <v>1250</v>
      </c>
      <c r="B251" s="18" t="n">
        <v>45510</v>
      </c>
      <c r="C251" s="17" t="s">
        <v>31</v>
      </c>
      <c r="D251" s="17" t="s">
        <v>35</v>
      </c>
      <c r="E251" s="17" t="s">
        <v>41</v>
      </c>
      <c r="F251" s="17" t="s">
        <v>43</v>
      </c>
      <c r="G251" s="17" t="n">
        <v>2</v>
      </c>
      <c r="H251" s="19" t="n">
        <v>44.99</v>
      </c>
      <c r="I251" s="19" t="n">
        <f aca="false">G251*H251</f>
        <v>89.98</v>
      </c>
    </row>
    <row r="252" customFormat="false" ht="15" hidden="false" customHeight="false" outlineLevel="0" collapsed="false">
      <c r="A252" s="17" t="n">
        <v>1251</v>
      </c>
      <c r="B252" s="18" t="n">
        <v>45511</v>
      </c>
      <c r="C252" s="17" t="s">
        <v>31</v>
      </c>
      <c r="D252" s="17" t="s">
        <v>35</v>
      </c>
      <c r="E252" s="17" t="s">
        <v>41</v>
      </c>
      <c r="F252" s="17" t="s">
        <v>30</v>
      </c>
      <c r="G252" s="17" t="n">
        <v>11</v>
      </c>
      <c r="H252" s="19" t="n">
        <v>44.99</v>
      </c>
      <c r="I252" s="19" t="n">
        <f aca="false">G252*H252</f>
        <v>494.89</v>
      </c>
    </row>
    <row r="253" customFormat="false" ht="15" hidden="false" customHeight="false" outlineLevel="0" collapsed="false">
      <c r="A253" s="17" t="n">
        <v>1252</v>
      </c>
      <c r="B253" s="18" t="n">
        <v>45511</v>
      </c>
      <c r="C253" s="17" t="s">
        <v>34</v>
      </c>
      <c r="D253" s="17" t="s">
        <v>21</v>
      </c>
      <c r="E253" s="17" t="s">
        <v>22</v>
      </c>
      <c r="F253" s="17" t="s">
        <v>37</v>
      </c>
      <c r="G253" s="17" t="n">
        <v>4</v>
      </c>
      <c r="H253" s="19" t="n">
        <v>24.99</v>
      </c>
      <c r="I253" s="19" t="n">
        <f aca="false">G253*H253</f>
        <v>99.96</v>
      </c>
    </row>
    <row r="254" customFormat="false" ht="15" hidden="false" customHeight="false" outlineLevel="0" collapsed="false">
      <c r="A254" s="17" t="n">
        <v>1253</v>
      </c>
      <c r="B254" s="18" t="n">
        <v>45511</v>
      </c>
      <c r="C254" s="17" t="s">
        <v>34</v>
      </c>
      <c r="D254" s="17" t="s">
        <v>32</v>
      </c>
      <c r="E254" s="17" t="s">
        <v>46</v>
      </c>
      <c r="F254" s="17" t="s">
        <v>23</v>
      </c>
      <c r="G254" s="17" t="n">
        <v>1</v>
      </c>
      <c r="H254" s="19" t="n">
        <v>129.99</v>
      </c>
      <c r="I254" s="19" t="n">
        <f aca="false">G254*H254</f>
        <v>129.99</v>
      </c>
    </row>
    <row r="255" customFormat="false" ht="15" hidden="false" customHeight="false" outlineLevel="0" collapsed="false">
      <c r="A255" s="17" t="n">
        <v>1254</v>
      </c>
      <c r="B255" s="18" t="n">
        <v>45512</v>
      </c>
      <c r="C255" s="17" t="s">
        <v>34</v>
      </c>
      <c r="D255" s="17" t="s">
        <v>25</v>
      </c>
      <c r="E255" s="17" t="s">
        <v>26</v>
      </c>
      <c r="F255" s="17" t="s">
        <v>39</v>
      </c>
      <c r="G255" s="17" t="n">
        <v>8</v>
      </c>
      <c r="H255" s="19" t="n">
        <v>19.99</v>
      </c>
      <c r="I255" s="19" t="n">
        <f aca="false">G255*H255</f>
        <v>159.92</v>
      </c>
    </row>
    <row r="256" customFormat="false" ht="15" hidden="false" customHeight="false" outlineLevel="0" collapsed="false">
      <c r="A256" s="17" t="n">
        <v>1255</v>
      </c>
      <c r="B256" s="18" t="n">
        <v>45512</v>
      </c>
      <c r="C256" s="17" t="s">
        <v>31</v>
      </c>
      <c r="D256" s="17" t="s">
        <v>32</v>
      </c>
      <c r="E256" s="17" t="s">
        <v>33</v>
      </c>
      <c r="F256" s="17" t="s">
        <v>27</v>
      </c>
      <c r="G256" s="17" t="n">
        <v>11</v>
      </c>
      <c r="H256" s="19" t="n">
        <v>39.99</v>
      </c>
      <c r="I256" s="19" t="n">
        <f aca="false">G256*H256</f>
        <v>439.89</v>
      </c>
    </row>
    <row r="257" customFormat="false" ht="15" hidden="false" customHeight="false" outlineLevel="0" collapsed="false">
      <c r="A257" s="17" t="n">
        <v>1256</v>
      </c>
      <c r="B257" s="18" t="n">
        <v>45513</v>
      </c>
      <c r="C257" s="17" t="s">
        <v>20</v>
      </c>
      <c r="D257" s="17" t="s">
        <v>32</v>
      </c>
      <c r="E257" s="17" t="s">
        <v>33</v>
      </c>
      <c r="F257" s="17" t="s">
        <v>23</v>
      </c>
      <c r="G257" s="17" t="n">
        <v>9</v>
      </c>
      <c r="H257" s="19" t="n">
        <v>39.99</v>
      </c>
      <c r="I257" s="19" t="n">
        <f aca="false">G257*H257</f>
        <v>359.91</v>
      </c>
    </row>
    <row r="258" customFormat="false" ht="15" hidden="false" customHeight="false" outlineLevel="0" collapsed="false">
      <c r="A258" s="17" t="n">
        <v>1257</v>
      </c>
      <c r="B258" s="18" t="n">
        <v>45513</v>
      </c>
      <c r="C258" s="17" t="s">
        <v>20</v>
      </c>
      <c r="D258" s="17" t="s">
        <v>28</v>
      </c>
      <c r="E258" s="17" t="s">
        <v>29</v>
      </c>
      <c r="F258" s="17" t="s">
        <v>30</v>
      </c>
      <c r="G258" s="17" t="n">
        <v>5</v>
      </c>
      <c r="H258" s="19" t="n">
        <v>14.99</v>
      </c>
      <c r="I258" s="19" t="n">
        <f aca="false">G258*H258</f>
        <v>74.95</v>
      </c>
    </row>
    <row r="259" customFormat="false" ht="15" hidden="false" customHeight="false" outlineLevel="0" collapsed="false">
      <c r="A259" s="17" t="n">
        <v>1258</v>
      </c>
      <c r="B259" s="18" t="n">
        <v>45515</v>
      </c>
      <c r="C259" s="17" t="s">
        <v>34</v>
      </c>
      <c r="D259" s="17" t="s">
        <v>32</v>
      </c>
      <c r="E259" s="17" t="s">
        <v>42</v>
      </c>
      <c r="F259" s="17" t="s">
        <v>43</v>
      </c>
      <c r="G259" s="17" t="n">
        <v>6</v>
      </c>
      <c r="H259" s="19" t="n">
        <v>49.99</v>
      </c>
      <c r="I259" s="19" t="n">
        <f aca="false">G259*H259</f>
        <v>299.94</v>
      </c>
    </row>
    <row r="260" customFormat="false" ht="15" hidden="false" customHeight="false" outlineLevel="0" collapsed="false">
      <c r="A260" s="17" t="n">
        <v>1259</v>
      </c>
      <c r="B260" s="18" t="n">
        <v>45516</v>
      </c>
      <c r="C260" s="17" t="s">
        <v>24</v>
      </c>
      <c r="D260" s="17" t="s">
        <v>32</v>
      </c>
      <c r="E260" s="17" t="s">
        <v>42</v>
      </c>
      <c r="F260" s="17" t="s">
        <v>43</v>
      </c>
      <c r="G260" s="17" t="n">
        <v>4</v>
      </c>
      <c r="H260" s="19" t="n">
        <v>49.99</v>
      </c>
      <c r="I260" s="19" t="n">
        <f aca="false">G260*H260</f>
        <v>199.96</v>
      </c>
    </row>
    <row r="261" customFormat="false" ht="15" hidden="false" customHeight="false" outlineLevel="0" collapsed="false">
      <c r="A261" s="17" t="n">
        <v>1260</v>
      </c>
      <c r="B261" s="18" t="n">
        <v>45516</v>
      </c>
      <c r="C261" s="17" t="s">
        <v>24</v>
      </c>
      <c r="D261" s="17" t="s">
        <v>35</v>
      </c>
      <c r="E261" s="17" t="s">
        <v>41</v>
      </c>
      <c r="F261" s="17" t="s">
        <v>37</v>
      </c>
      <c r="G261" s="17" t="n">
        <v>6</v>
      </c>
      <c r="H261" s="19" t="n">
        <v>44.99</v>
      </c>
      <c r="I261" s="19" t="n">
        <f aca="false">G261*H261</f>
        <v>269.94</v>
      </c>
    </row>
    <row r="262" customFormat="false" ht="15" hidden="false" customHeight="false" outlineLevel="0" collapsed="false">
      <c r="A262" s="17" t="n">
        <v>1261</v>
      </c>
      <c r="B262" s="18" t="n">
        <v>45518</v>
      </c>
      <c r="C262" s="17" t="s">
        <v>34</v>
      </c>
      <c r="D262" s="17" t="s">
        <v>25</v>
      </c>
      <c r="E262" s="17" t="s">
        <v>38</v>
      </c>
      <c r="F262" s="17" t="s">
        <v>37</v>
      </c>
      <c r="G262" s="17" t="n">
        <v>10</v>
      </c>
      <c r="H262" s="19" t="n">
        <v>59.99</v>
      </c>
      <c r="I262" s="19" t="n">
        <f aca="false">G262*H262</f>
        <v>599.9</v>
      </c>
    </row>
    <row r="263" customFormat="false" ht="15" hidden="false" customHeight="false" outlineLevel="0" collapsed="false">
      <c r="A263" s="17" t="n">
        <v>1262</v>
      </c>
      <c r="B263" s="18" t="n">
        <v>45518</v>
      </c>
      <c r="C263" s="17" t="s">
        <v>24</v>
      </c>
      <c r="D263" s="17" t="s">
        <v>21</v>
      </c>
      <c r="E263" s="17" t="s">
        <v>40</v>
      </c>
      <c r="F263" s="17" t="s">
        <v>30</v>
      </c>
      <c r="G263" s="17" t="n">
        <v>8</v>
      </c>
      <c r="H263" s="19" t="n">
        <v>69.99</v>
      </c>
      <c r="I263" s="19" t="n">
        <f aca="false">G263*H263</f>
        <v>559.92</v>
      </c>
    </row>
    <row r="264" customFormat="false" ht="15" hidden="false" customHeight="false" outlineLevel="0" collapsed="false">
      <c r="A264" s="17" t="n">
        <v>1263</v>
      </c>
      <c r="B264" s="18" t="n">
        <v>45522</v>
      </c>
      <c r="C264" s="17" t="s">
        <v>24</v>
      </c>
      <c r="D264" s="17" t="s">
        <v>35</v>
      </c>
      <c r="E264" s="17" t="s">
        <v>41</v>
      </c>
      <c r="F264" s="17" t="s">
        <v>39</v>
      </c>
      <c r="G264" s="17" t="n">
        <v>2</v>
      </c>
      <c r="H264" s="19" t="n">
        <v>44.99</v>
      </c>
      <c r="I264" s="19" t="n">
        <f aca="false">G264*H264</f>
        <v>89.98</v>
      </c>
    </row>
    <row r="265" customFormat="false" ht="15" hidden="false" customHeight="false" outlineLevel="0" collapsed="false">
      <c r="A265" s="17" t="n">
        <v>1264</v>
      </c>
      <c r="B265" s="18" t="n">
        <v>45522</v>
      </c>
      <c r="C265" s="17" t="s">
        <v>34</v>
      </c>
      <c r="D265" s="17" t="s">
        <v>25</v>
      </c>
      <c r="E265" s="17" t="s">
        <v>44</v>
      </c>
      <c r="F265" s="17" t="s">
        <v>30</v>
      </c>
      <c r="G265" s="17" t="n">
        <v>10</v>
      </c>
      <c r="H265" s="19" t="n">
        <v>74.99</v>
      </c>
      <c r="I265" s="19" t="n">
        <f aca="false">G265*H265</f>
        <v>749.9</v>
      </c>
    </row>
    <row r="266" customFormat="false" ht="15" hidden="false" customHeight="false" outlineLevel="0" collapsed="false">
      <c r="A266" s="17" t="n">
        <v>1265</v>
      </c>
      <c r="B266" s="18" t="n">
        <v>45523</v>
      </c>
      <c r="C266" s="17" t="s">
        <v>34</v>
      </c>
      <c r="D266" s="17" t="s">
        <v>32</v>
      </c>
      <c r="E266" s="17" t="s">
        <v>46</v>
      </c>
      <c r="F266" s="17" t="s">
        <v>43</v>
      </c>
      <c r="G266" s="17" t="n">
        <v>11</v>
      </c>
      <c r="H266" s="19" t="n">
        <v>129.99</v>
      </c>
      <c r="I266" s="19" t="n">
        <f aca="false">G266*H266</f>
        <v>1429.89</v>
      </c>
    </row>
    <row r="267" customFormat="false" ht="15" hidden="false" customHeight="false" outlineLevel="0" collapsed="false">
      <c r="A267" s="17" t="n">
        <v>1266</v>
      </c>
      <c r="B267" s="18" t="n">
        <v>45524</v>
      </c>
      <c r="C267" s="17" t="s">
        <v>34</v>
      </c>
      <c r="D267" s="17" t="s">
        <v>25</v>
      </c>
      <c r="E267" s="17" t="s">
        <v>38</v>
      </c>
      <c r="F267" s="17" t="s">
        <v>27</v>
      </c>
      <c r="G267" s="17" t="n">
        <v>12</v>
      </c>
      <c r="H267" s="19" t="n">
        <v>59.99</v>
      </c>
      <c r="I267" s="19" t="n">
        <f aca="false">G267*H267</f>
        <v>719.88</v>
      </c>
    </row>
    <row r="268" customFormat="false" ht="15" hidden="false" customHeight="false" outlineLevel="0" collapsed="false">
      <c r="A268" s="17" t="n">
        <v>1267</v>
      </c>
      <c r="B268" s="18" t="n">
        <v>45524</v>
      </c>
      <c r="C268" s="17" t="s">
        <v>20</v>
      </c>
      <c r="D268" s="17" t="s">
        <v>25</v>
      </c>
      <c r="E268" s="17" t="s">
        <v>38</v>
      </c>
      <c r="F268" s="17" t="s">
        <v>37</v>
      </c>
      <c r="G268" s="17" t="n">
        <v>4</v>
      </c>
      <c r="H268" s="19" t="n">
        <v>59.99</v>
      </c>
      <c r="I268" s="19" t="n">
        <f aca="false">G268*H268</f>
        <v>239.96</v>
      </c>
    </row>
    <row r="269" customFormat="false" ht="15" hidden="false" customHeight="false" outlineLevel="0" collapsed="false">
      <c r="A269" s="17" t="n">
        <v>1268</v>
      </c>
      <c r="B269" s="18" t="n">
        <v>45524</v>
      </c>
      <c r="C269" s="17" t="s">
        <v>20</v>
      </c>
      <c r="D269" s="17" t="s">
        <v>32</v>
      </c>
      <c r="E269" s="17" t="s">
        <v>33</v>
      </c>
      <c r="F269" s="17" t="s">
        <v>37</v>
      </c>
      <c r="G269" s="17" t="n">
        <v>6</v>
      </c>
      <c r="H269" s="19" t="n">
        <v>39.99</v>
      </c>
      <c r="I269" s="19" t="n">
        <f aca="false">G269*H269</f>
        <v>239.94</v>
      </c>
    </row>
    <row r="270" customFormat="false" ht="15" hidden="false" customHeight="false" outlineLevel="0" collapsed="false">
      <c r="A270" s="17" t="n">
        <v>1269</v>
      </c>
      <c r="B270" s="18" t="n">
        <v>45525</v>
      </c>
      <c r="C270" s="17" t="s">
        <v>24</v>
      </c>
      <c r="D270" s="17" t="s">
        <v>35</v>
      </c>
      <c r="E270" s="17" t="s">
        <v>41</v>
      </c>
      <c r="F270" s="17" t="s">
        <v>39</v>
      </c>
      <c r="G270" s="17" t="n">
        <v>4</v>
      </c>
      <c r="H270" s="19" t="n">
        <v>44.99</v>
      </c>
      <c r="I270" s="19" t="n">
        <f aca="false">G270*H270</f>
        <v>179.96</v>
      </c>
    </row>
    <row r="271" customFormat="false" ht="15" hidden="false" customHeight="false" outlineLevel="0" collapsed="false">
      <c r="A271" s="17" t="n">
        <v>1270</v>
      </c>
      <c r="B271" s="18" t="n">
        <v>45525</v>
      </c>
      <c r="C271" s="17" t="s">
        <v>24</v>
      </c>
      <c r="D271" s="17" t="s">
        <v>35</v>
      </c>
      <c r="E271" s="17" t="s">
        <v>45</v>
      </c>
      <c r="F271" s="17" t="s">
        <v>27</v>
      </c>
      <c r="G271" s="17" t="n">
        <v>12</v>
      </c>
      <c r="H271" s="19" t="n">
        <v>89.99</v>
      </c>
      <c r="I271" s="19" t="n">
        <f aca="false">G271*H271</f>
        <v>1079.88</v>
      </c>
    </row>
    <row r="272" customFormat="false" ht="15" hidden="false" customHeight="false" outlineLevel="0" collapsed="false">
      <c r="A272" s="17" t="n">
        <v>1271</v>
      </c>
      <c r="B272" s="18" t="n">
        <v>45526</v>
      </c>
      <c r="C272" s="17" t="s">
        <v>20</v>
      </c>
      <c r="D272" s="17" t="s">
        <v>32</v>
      </c>
      <c r="E272" s="17" t="s">
        <v>42</v>
      </c>
      <c r="F272" s="17" t="s">
        <v>23</v>
      </c>
      <c r="G272" s="17" t="n">
        <v>1</v>
      </c>
      <c r="H272" s="19" t="n">
        <v>49.99</v>
      </c>
      <c r="I272" s="19" t="n">
        <f aca="false">G272*H272</f>
        <v>49.99</v>
      </c>
    </row>
    <row r="273" customFormat="false" ht="15" hidden="false" customHeight="false" outlineLevel="0" collapsed="false">
      <c r="A273" s="17" t="n">
        <v>1272</v>
      </c>
      <c r="B273" s="18" t="n">
        <v>45526</v>
      </c>
      <c r="C273" s="17" t="s">
        <v>20</v>
      </c>
      <c r="D273" s="17" t="s">
        <v>32</v>
      </c>
      <c r="E273" s="17" t="s">
        <v>46</v>
      </c>
      <c r="F273" s="17" t="s">
        <v>23</v>
      </c>
      <c r="G273" s="17" t="n">
        <v>4</v>
      </c>
      <c r="H273" s="19" t="n">
        <v>129.99</v>
      </c>
      <c r="I273" s="19" t="n">
        <f aca="false">G273*H273</f>
        <v>519.96</v>
      </c>
    </row>
    <row r="274" customFormat="false" ht="15" hidden="false" customHeight="false" outlineLevel="0" collapsed="false">
      <c r="A274" s="17" t="n">
        <v>1273</v>
      </c>
      <c r="B274" s="18" t="n">
        <v>45527</v>
      </c>
      <c r="C274" s="17" t="s">
        <v>31</v>
      </c>
      <c r="D274" s="17" t="s">
        <v>35</v>
      </c>
      <c r="E274" s="17" t="s">
        <v>41</v>
      </c>
      <c r="F274" s="17" t="s">
        <v>39</v>
      </c>
      <c r="G274" s="17" t="n">
        <v>2</v>
      </c>
      <c r="H274" s="19" t="n">
        <v>44.99</v>
      </c>
      <c r="I274" s="19" t="n">
        <f aca="false">G274*H274</f>
        <v>89.98</v>
      </c>
    </row>
    <row r="275" customFormat="false" ht="15" hidden="false" customHeight="false" outlineLevel="0" collapsed="false">
      <c r="A275" s="17" t="n">
        <v>1274</v>
      </c>
      <c r="B275" s="18" t="n">
        <v>45527</v>
      </c>
      <c r="C275" s="17" t="s">
        <v>24</v>
      </c>
      <c r="D275" s="17" t="s">
        <v>28</v>
      </c>
      <c r="E275" s="17" t="s">
        <v>29</v>
      </c>
      <c r="F275" s="17" t="s">
        <v>39</v>
      </c>
      <c r="G275" s="17" t="n">
        <v>3</v>
      </c>
      <c r="H275" s="19" t="n">
        <v>14.99</v>
      </c>
      <c r="I275" s="19" t="n">
        <f aca="false">G275*H275</f>
        <v>44.97</v>
      </c>
    </row>
    <row r="276" customFormat="false" ht="15" hidden="false" customHeight="false" outlineLevel="0" collapsed="false">
      <c r="A276" s="17" t="n">
        <v>1275</v>
      </c>
      <c r="B276" s="18" t="n">
        <v>45528</v>
      </c>
      <c r="C276" s="17" t="s">
        <v>31</v>
      </c>
      <c r="D276" s="17" t="s">
        <v>35</v>
      </c>
      <c r="E276" s="17" t="s">
        <v>45</v>
      </c>
      <c r="F276" s="17" t="s">
        <v>23</v>
      </c>
      <c r="G276" s="17" t="n">
        <v>9</v>
      </c>
      <c r="H276" s="19" t="n">
        <v>89.99</v>
      </c>
      <c r="I276" s="19" t="n">
        <f aca="false">G276*H276</f>
        <v>809.91</v>
      </c>
    </row>
    <row r="277" customFormat="false" ht="15" hidden="false" customHeight="false" outlineLevel="0" collapsed="false">
      <c r="A277" s="17" t="n">
        <v>1276</v>
      </c>
      <c r="B277" s="18" t="n">
        <v>45530</v>
      </c>
      <c r="C277" s="17" t="s">
        <v>20</v>
      </c>
      <c r="D277" s="17" t="s">
        <v>28</v>
      </c>
      <c r="E277" s="17" t="s">
        <v>29</v>
      </c>
      <c r="F277" s="17" t="s">
        <v>37</v>
      </c>
      <c r="G277" s="17" t="n">
        <v>3</v>
      </c>
      <c r="H277" s="19" t="n">
        <v>14.99</v>
      </c>
      <c r="I277" s="19" t="n">
        <f aca="false">G277*H277</f>
        <v>44.97</v>
      </c>
    </row>
    <row r="278" customFormat="false" ht="15" hidden="false" customHeight="false" outlineLevel="0" collapsed="false">
      <c r="A278" s="17" t="n">
        <v>1277</v>
      </c>
      <c r="B278" s="18" t="n">
        <v>45530</v>
      </c>
      <c r="C278" s="17" t="s">
        <v>24</v>
      </c>
      <c r="D278" s="17" t="s">
        <v>25</v>
      </c>
      <c r="E278" s="17" t="s">
        <v>38</v>
      </c>
      <c r="F278" s="17" t="s">
        <v>43</v>
      </c>
      <c r="G278" s="17" t="n">
        <v>8</v>
      </c>
      <c r="H278" s="19" t="n">
        <v>59.99</v>
      </c>
      <c r="I278" s="19" t="n">
        <f aca="false">G278*H278</f>
        <v>479.92</v>
      </c>
    </row>
    <row r="279" customFormat="false" ht="15" hidden="false" customHeight="false" outlineLevel="0" collapsed="false">
      <c r="A279" s="17" t="n">
        <v>1278</v>
      </c>
      <c r="B279" s="18" t="n">
        <v>45531</v>
      </c>
      <c r="C279" s="17" t="s">
        <v>31</v>
      </c>
      <c r="D279" s="17" t="s">
        <v>32</v>
      </c>
      <c r="E279" s="17" t="s">
        <v>46</v>
      </c>
      <c r="F279" s="17" t="s">
        <v>39</v>
      </c>
      <c r="G279" s="17" t="n">
        <v>10</v>
      </c>
      <c r="H279" s="19" t="n">
        <v>129.99</v>
      </c>
      <c r="I279" s="19" t="n">
        <f aca="false">G279*H279</f>
        <v>1299.9</v>
      </c>
    </row>
    <row r="280" customFormat="false" ht="15" hidden="false" customHeight="false" outlineLevel="0" collapsed="false">
      <c r="A280" s="17" t="n">
        <v>1279</v>
      </c>
      <c r="B280" s="18" t="n">
        <v>45532</v>
      </c>
      <c r="C280" s="17" t="s">
        <v>34</v>
      </c>
      <c r="D280" s="17" t="s">
        <v>35</v>
      </c>
      <c r="E280" s="17" t="s">
        <v>36</v>
      </c>
      <c r="F280" s="17" t="s">
        <v>37</v>
      </c>
      <c r="G280" s="17" t="n">
        <v>3</v>
      </c>
      <c r="H280" s="19" t="n">
        <v>54.99</v>
      </c>
      <c r="I280" s="19" t="n">
        <f aca="false">G280*H280</f>
        <v>164.97</v>
      </c>
    </row>
    <row r="281" customFormat="false" ht="15" hidden="false" customHeight="false" outlineLevel="0" collapsed="false">
      <c r="A281" s="17" t="n">
        <v>1280</v>
      </c>
      <c r="B281" s="18" t="n">
        <v>45534</v>
      </c>
      <c r="C281" s="17" t="s">
        <v>31</v>
      </c>
      <c r="D281" s="17" t="s">
        <v>21</v>
      </c>
      <c r="E281" s="17" t="s">
        <v>40</v>
      </c>
      <c r="F281" s="17" t="s">
        <v>30</v>
      </c>
      <c r="G281" s="17" t="n">
        <v>4</v>
      </c>
      <c r="H281" s="19" t="n">
        <v>69.99</v>
      </c>
      <c r="I281" s="19" t="n">
        <f aca="false">G281*H281</f>
        <v>279.96</v>
      </c>
    </row>
    <row r="282" customFormat="false" ht="15" hidden="false" customHeight="false" outlineLevel="0" collapsed="false">
      <c r="A282" s="17" t="n">
        <v>1281</v>
      </c>
      <c r="B282" s="18" t="n">
        <v>45535</v>
      </c>
      <c r="C282" s="17" t="s">
        <v>24</v>
      </c>
      <c r="D282" s="17" t="s">
        <v>35</v>
      </c>
      <c r="E282" s="17" t="s">
        <v>41</v>
      </c>
      <c r="F282" s="17" t="s">
        <v>37</v>
      </c>
      <c r="G282" s="17" t="n">
        <v>9</v>
      </c>
      <c r="H282" s="19" t="n">
        <v>44.99</v>
      </c>
      <c r="I282" s="19" t="n">
        <f aca="false">G282*H282</f>
        <v>404.91</v>
      </c>
    </row>
    <row r="283" customFormat="false" ht="15" hidden="false" customHeight="false" outlineLevel="0" collapsed="false">
      <c r="A283" s="17" t="n">
        <v>1282</v>
      </c>
      <c r="B283" s="18" t="n">
        <v>45535</v>
      </c>
      <c r="C283" s="17" t="s">
        <v>24</v>
      </c>
      <c r="D283" s="17" t="s">
        <v>35</v>
      </c>
      <c r="E283" s="17" t="s">
        <v>41</v>
      </c>
      <c r="F283" s="17" t="s">
        <v>43</v>
      </c>
      <c r="G283" s="17" t="n">
        <v>8</v>
      </c>
      <c r="H283" s="19" t="n">
        <v>44.99</v>
      </c>
      <c r="I283" s="19" t="n">
        <f aca="false">G283*H283</f>
        <v>359.92</v>
      </c>
    </row>
    <row r="284" customFormat="false" ht="15" hidden="false" customHeight="false" outlineLevel="0" collapsed="false">
      <c r="A284" s="17" t="n">
        <v>1283</v>
      </c>
      <c r="B284" s="18" t="n">
        <v>45535</v>
      </c>
      <c r="C284" s="17" t="s">
        <v>20</v>
      </c>
      <c r="D284" s="17" t="s">
        <v>35</v>
      </c>
      <c r="E284" s="17" t="s">
        <v>36</v>
      </c>
      <c r="F284" s="17" t="s">
        <v>23</v>
      </c>
      <c r="G284" s="17" t="n">
        <v>11</v>
      </c>
      <c r="H284" s="19" t="n">
        <v>54.99</v>
      </c>
      <c r="I284" s="19" t="n">
        <f aca="false">G284*H284</f>
        <v>604.89</v>
      </c>
    </row>
    <row r="285" customFormat="false" ht="15" hidden="false" customHeight="false" outlineLevel="0" collapsed="false">
      <c r="A285" s="17" t="n">
        <v>1284</v>
      </c>
      <c r="B285" s="18" t="n">
        <v>45538</v>
      </c>
      <c r="C285" s="17" t="s">
        <v>31</v>
      </c>
      <c r="D285" s="17" t="s">
        <v>25</v>
      </c>
      <c r="E285" s="17" t="s">
        <v>44</v>
      </c>
      <c r="F285" s="17" t="s">
        <v>37</v>
      </c>
      <c r="G285" s="17" t="n">
        <v>9</v>
      </c>
      <c r="H285" s="19" t="n">
        <v>74.99</v>
      </c>
      <c r="I285" s="19" t="n">
        <f aca="false">G285*H285</f>
        <v>674.91</v>
      </c>
    </row>
    <row r="286" customFormat="false" ht="15" hidden="false" customHeight="false" outlineLevel="0" collapsed="false">
      <c r="A286" s="17" t="n">
        <v>1285</v>
      </c>
      <c r="B286" s="18" t="n">
        <v>45539</v>
      </c>
      <c r="C286" s="17" t="s">
        <v>34</v>
      </c>
      <c r="D286" s="17" t="s">
        <v>35</v>
      </c>
      <c r="E286" s="17" t="s">
        <v>36</v>
      </c>
      <c r="F286" s="17" t="s">
        <v>27</v>
      </c>
      <c r="G286" s="17" t="n">
        <v>10</v>
      </c>
      <c r="H286" s="19" t="n">
        <v>54.99</v>
      </c>
      <c r="I286" s="19" t="n">
        <f aca="false">G286*H286</f>
        <v>549.9</v>
      </c>
    </row>
    <row r="287" customFormat="false" ht="15" hidden="false" customHeight="false" outlineLevel="0" collapsed="false">
      <c r="A287" s="17" t="n">
        <v>1286</v>
      </c>
      <c r="B287" s="18" t="n">
        <v>45539</v>
      </c>
      <c r="C287" s="17" t="s">
        <v>20</v>
      </c>
      <c r="D287" s="17" t="s">
        <v>25</v>
      </c>
      <c r="E287" s="17" t="s">
        <v>38</v>
      </c>
      <c r="F287" s="17" t="s">
        <v>43</v>
      </c>
      <c r="G287" s="17" t="n">
        <v>4</v>
      </c>
      <c r="H287" s="19" t="n">
        <v>59.99</v>
      </c>
      <c r="I287" s="19" t="n">
        <f aca="false">G287*H287</f>
        <v>239.96</v>
      </c>
    </row>
    <row r="288" customFormat="false" ht="15" hidden="false" customHeight="false" outlineLevel="0" collapsed="false">
      <c r="A288" s="17" t="n">
        <v>1287</v>
      </c>
      <c r="B288" s="18" t="n">
        <v>45539</v>
      </c>
      <c r="C288" s="17" t="s">
        <v>24</v>
      </c>
      <c r="D288" s="17" t="s">
        <v>32</v>
      </c>
      <c r="E288" s="17" t="s">
        <v>33</v>
      </c>
      <c r="F288" s="17" t="s">
        <v>39</v>
      </c>
      <c r="G288" s="17" t="n">
        <v>10</v>
      </c>
      <c r="H288" s="19" t="n">
        <v>39.99</v>
      </c>
      <c r="I288" s="19" t="n">
        <f aca="false">G288*H288</f>
        <v>399.9</v>
      </c>
    </row>
    <row r="289" customFormat="false" ht="15" hidden="false" customHeight="false" outlineLevel="0" collapsed="false">
      <c r="A289" s="17" t="n">
        <v>1288</v>
      </c>
      <c r="B289" s="18" t="n">
        <v>45540</v>
      </c>
      <c r="C289" s="17" t="s">
        <v>24</v>
      </c>
      <c r="D289" s="17" t="s">
        <v>35</v>
      </c>
      <c r="E289" s="17" t="s">
        <v>36</v>
      </c>
      <c r="F289" s="17" t="s">
        <v>39</v>
      </c>
      <c r="G289" s="17" t="n">
        <v>1</v>
      </c>
      <c r="H289" s="19" t="n">
        <v>54.99</v>
      </c>
      <c r="I289" s="19" t="n">
        <f aca="false">G289*H289</f>
        <v>54.99</v>
      </c>
    </row>
    <row r="290" customFormat="false" ht="15" hidden="false" customHeight="false" outlineLevel="0" collapsed="false">
      <c r="A290" s="17" t="n">
        <v>1289</v>
      </c>
      <c r="B290" s="18" t="n">
        <v>45540</v>
      </c>
      <c r="C290" s="17" t="s">
        <v>24</v>
      </c>
      <c r="D290" s="17" t="s">
        <v>32</v>
      </c>
      <c r="E290" s="17" t="s">
        <v>33</v>
      </c>
      <c r="F290" s="17" t="s">
        <v>23</v>
      </c>
      <c r="G290" s="17" t="n">
        <v>11</v>
      </c>
      <c r="H290" s="19" t="n">
        <v>39.99</v>
      </c>
      <c r="I290" s="19" t="n">
        <f aca="false">G290*H290</f>
        <v>439.89</v>
      </c>
    </row>
    <row r="291" customFormat="false" ht="15" hidden="false" customHeight="false" outlineLevel="0" collapsed="false">
      <c r="A291" s="17" t="n">
        <v>1290</v>
      </c>
      <c r="B291" s="18" t="n">
        <v>45541</v>
      </c>
      <c r="C291" s="17" t="s">
        <v>31</v>
      </c>
      <c r="D291" s="17" t="s">
        <v>35</v>
      </c>
      <c r="E291" s="17" t="s">
        <v>41</v>
      </c>
      <c r="F291" s="17" t="s">
        <v>30</v>
      </c>
      <c r="G291" s="17" t="n">
        <v>2</v>
      </c>
      <c r="H291" s="19" t="n">
        <v>44.99</v>
      </c>
      <c r="I291" s="19" t="n">
        <f aca="false">G291*H291</f>
        <v>89.98</v>
      </c>
    </row>
    <row r="292" customFormat="false" ht="15" hidden="false" customHeight="false" outlineLevel="0" collapsed="false">
      <c r="A292" s="17" t="n">
        <v>1291</v>
      </c>
      <c r="B292" s="18" t="n">
        <v>45542</v>
      </c>
      <c r="C292" s="17" t="s">
        <v>34</v>
      </c>
      <c r="D292" s="17" t="s">
        <v>32</v>
      </c>
      <c r="E292" s="17" t="s">
        <v>33</v>
      </c>
      <c r="F292" s="17" t="s">
        <v>37</v>
      </c>
      <c r="G292" s="17" t="n">
        <v>11</v>
      </c>
      <c r="H292" s="19" t="n">
        <v>39.99</v>
      </c>
      <c r="I292" s="19" t="n">
        <f aca="false">G292*H292</f>
        <v>439.89</v>
      </c>
    </row>
    <row r="293" customFormat="false" ht="15" hidden="false" customHeight="false" outlineLevel="0" collapsed="false">
      <c r="A293" s="17" t="n">
        <v>1292</v>
      </c>
      <c r="B293" s="18" t="n">
        <v>45543</v>
      </c>
      <c r="C293" s="17" t="s">
        <v>31</v>
      </c>
      <c r="D293" s="17" t="s">
        <v>25</v>
      </c>
      <c r="E293" s="17" t="s">
        <v>44</v>
      </c>
      <c r="F293" s="17" t="s">
        <v>23</v>
      </c>
      <c r="G293" s="17" t="n">
        <v>2</v>
      </c>
      <c r="H293" s="19" t="n">
        <v>74.99</v>
      </c>
      <c r="I293" s="19" t="n">
        <f aca="false">G293*H293</f>
        <v>149.98</v>
      </c>
    </row>
    <row r="294" customFormat="false" ht="15" hidden="false" customHeight="false" outlineLevel="0" collapsed="false">
      <c r="A294" s="17" t="n">
        <v>1293</v>
      </c>
      <c r="B294" s="18" t="n">
        <v>45543</v>
      </c>
      <c r="C294" s="17" t="s">
        <v>31</v>
      </c>
      <c r="D294" s="17" t="s">
        <v>35</v>
      </c>
      <c r="E294" s="17" t="s">
        <v>36</v>
      </c>
      <c r="F294" s="17" t="s">
        <v>43</v>
      </c>
      <c r="G294" s="17" t="n">
        <v>5</v>
      </c>
      <c r="H294" s="19" t="n">
        <v>54.99</v>
      </c>
      <c r="I294" s="19" t="n">
        <f aca="false">G294*H294</f>
        <v>274.95</v>
      </c>
    </row>
    <row r="295" customFormat="false" ht="15" hidden="false" customHeight="false" outlineLevel="0" collapsed="false">
      <c r="A295" s="17" t="n">
        <v>1294</v>
      </c>
      <c r="B295" s="18" t="n">
        <v>45544</v>
      </c>
      <c r="C295" s="17" t="s">
        <v>31</v>
      </c>
      <c r="D295" s="17" t="s">
        <v>35</v>
      </c>
      <c r="E295" s="17" t="s">
        <v>36</v>
      </c>
      <c r="F295" s="17" t="s">
        <v>30</v>
      </c>
      <c r="G295" s="17" t="n">
        <v>1</v>
      </c>
      <c r="H295" s="19" t="n">
        <v>54.99</v>
      </c>
      <c r="I295" s="19" t="n">
        <f aca="false">G295*H295</f>
        <v>54.99</v>
      </c>
    </row>
    <row r="296" customFormat="false" ht="15" hidden="false" customHeight="false" outlineLevel="0" collapsed="false">
      <c r="A296" s="17" t="n">
        <v>1295</v>
      </c>
      <c r="B296" s="18" t="n">
        <v>45545</v>
      </c>
      <c r="C296" s="17" t="s">
        <v>34</v>
      </c>
      <c r="D296" s="17" t="s">
        <v>25</v>
      </c>
      <c r="E296" s="17" t="s">
        <v>38</v>
      </c>
      <c r="F296" s="17" t="s">
        <v>30</v>
      </c>
      <c r="G296" s="17" t="n">
        <v>1</v>
      </c>
      <c r="H296" s="19" t="n">
        <v>59.99</v>
      </c>
      <c r="I296" s="19" t="n">
        <f aca="false">G296*H296</f>
        <v>59.99</v>
      </c>
    </row>
    <row r="297" customFormat="false" ht="15" hidden="false" customHeight="false" outlineLevel="0" collapsed="false">
      <c r="A297" s="17" t="n">
        <v>1296</v>
      </c>
      <c r="B297" s="18" t="n">
        <v>45546</v>
      </c>
      <c r="C297" s="17" t="s">
        <v>24</v>
      </c>
      <c r="D297" s="17" t="s">
        <v>25</v>
      </c>
      <c r="E297" s="17" t="s">
        <v>38</v>
      </c>
      <c r="F297" s="17" t="s">
        <v>30</v>
      </c>
      <c r="G297" s="17" t="n">
        <v>6</v>
      </c>
      <c r="H297" s="19" t="n">
        <v>59.99</v>
      </c>
      <c r="I297" s="19" t="n">
        <f aca="false">G297*H297</f>
        <v>359.94</v>
      </c>
    </row>
    <row r="298" customFormat="false" ht="15" hidden="false" customHeight="false" outlineLevel="0" collapsed="false">
      <c r="A298" s="17" t="n">
        <v>1297</v>
      </c>
      <c r="B298" s="18" t="n">
        <v>45547</v>
      </c>
      <c r="C298" s="17" t="s">
        <v>31</v>
      </c>
      <c r="D298" s="17" t="s">
        <v>21</v>
      </c>
      <c r="E298" s="17" t="s">
        <v>22</v>
      </c>
      <c r="F298" s="17" t="s">
        <v>27</v>
      </c>
      <c r="G298" s="17" t="n">
        <v>9</v>
      </c>
      <c r="H298" s="19" t="n">
        <v>24.99</v>
      </c>
      <c r="I298" s="19" t="n">
        <f aca="false">G298*H298</f>
        <v>224.91</v>
      </c>
    </row>
    <row r="299" customFormat="false" ht="15" hidden="false" customHeight="false" outlineLevel="0" collapsed="false">
      <c r="A299" s="17" t="n">
        <v>1298</v>
      </c>
      <c r="B299" s="18" t="n">
        <v>45547</v>
      </c>
      <c r="C299" s="17" t="s">
        <v>20</v>
      </c>
      <c r="D299" s="17" t="s">
        <v>28</v>
      </c>
      <c r="E299" s="17" t="s">
        <v>29</v>
      </c>
      <c r="F299" s="17" t="s">
        <v>30</v>
      </c>
      <c r="G299" s="17" t="n">
        <v>12</v>
      </c>
      <c r="H299" s="19" t="n">
        <v>14.99</v>
      </c>
      <c r="I299" s="19" t="n">
        <f aca="false">G299*H299</f>
        <v>179.88</v>
      </c>
    </row>
    <row r="300" customFormat="false" ht="15" hidden="false" customHeight="false" outlineLevel="0" collapsed="false">
      <c r="A300" s="17" t="n">
        <v>1299</v>
      </c>
      <c r="B300" s="18" t="n">
        <v>45549</v>
      </c>
      <c r="C300" s="17" t="s">
        <v>31</v>
      </c>
      <c r="D300" s="17" t="s">
        <v>32</v>
      </c>
      <c r="E300" s="17" t="s">
        <v>42</v>
      </c>
      <c r="F300" s="17" t="s">
        <v>30</v>
      </c>
      <c r="G300" s="17" t="n">
        <v>3</v>
      </c>
      <c r="H300" s="19" t="n">
        <v>49.99</v>
      </c>
      <c r="I300" s="19" t="n">
        <f aca="false">G300*H300</f>
        <v>149.97</v>
      </c>
    </row>
    <row r="301" customFormat="false" ht="15" hidden="false" customHeight="false" outlineLevel="0" collapsed="false">
      <c r="A301" s="17" t="n">
        <v>1300</v>
      </c>
      <c r="B301" s="18" t="n">
        <v>45550</v>
      </c>
      <c r="C301" s="17" t="s">
        <v>34</v>
      </c>
      <c r="D301" s="17" t="s">
        <v>35</v>
      </c>
      <c r="E301" s="17" t="s">
        <v>45</v>
      </c>
      <c r="F301" s="17" t="s">
        <v>23</v>
      </c>
      <c r="G301" s="17" t="n">
        <v>12</v>
      </c>
      <c r="H301" s="19" t="n">
        <v>89.99</v>
      </c>
      <c r="I301" s="19" t="n">
        <f aca="false">G301*H301</f>
        <v>1079.88</v>
      </c>
    </row>
    <row r="302" customFormat="false" ht="15" hidden="false" customHeight="false" outlineLevel="0" collapsed="false">
      <c r="A302" s="17" t="n">
        <v>1301</v>
      </c>
      <c r="B302" s="18" t="n">
        <v>45551</v>
      </c>
      <c r="C302" s="17" t="s">
        <v>20</v>
      </c>
      <c r="D302" s="17" t="s">
        <v>32</v>
      </c>
      <c r="E302" s="17" t="s">
        <v>33</v>
      </c>
      <c r="F302" s="17" t="s">
        <v>39</v>
      </c>
      <c r="G302" s="17" t="n">
        <v>8</v>
      </c>
      <c r="H302" s="19" t="n">
        <v>39.99</v>
      </c>
      <c r="I302" s="19" t="n">
        <f aca="false">G302*H302</f>
        <v>319.92</v>
      </c>
    </row>
    <row r="303" customFormat="false" ht="15" hidden="false" customHeight="false" outlineLevel="0" collapsed="false">
      <c r="A303" s="17" t="n">
        <v>1302</v>
      </c>
      <c r="B303" s="18" t="n">
        <v>45551</v>
      </c>
      <c r="C303" s="17" t="s">
        <v>20</v>
      </c>
      <c r="D303" s="17" t="s">
        <v>32</v>
      </c>
      <c r="E303" s="17" t="s">
        <v>33</v>
      </c>
      <c r="F303" s="17" t="s">
        <v>27</v>
      </c>
      <c r="G303" s="17" t="n">
        <v>9</v>
      </c>
      <c r="H303" s="19" t="n">
        <v>39.99</v>
      </c>
      <c r="I303" s="19" t="n">
        <f aca="false">G303*H303</f>
        <v>359.91</v>
      </c>
    </row>
    <row r="304" customFormat="false" ht="15" hidden="false" customHeight="false" outlineLevel="0" collapsed="false">
      <c r="A304" s="17" t="n">
        <v>1303</v>
      </c>
      <c r="B304" s="18" t="n">
        <v>45552</v>
      </c>
      <c r="C304" s="17" t="s">
        <v>20</v>
      </c>
      <c r="D304" s="17" t="s">
        <v>35</v>
      </c>
      <c r="E304" s="17" t="s">
        <v>45</v>
      </c>
      <c r="F304" s="17" t="s">
        <v>43</v>
      </c>
      <c r="G304" s="17" t="n">
        <v>2</v>
      </c>
      <c r="H304" s="19" t="n">
        <v>89.99</v>
      </c>
      <c r="I304" s="19" t="n">
        <f aca="false">G304*H304</f>
        <v>179.98</v>
      </c>
    </row>
    <row r="305" customFormat="false" ht="15" hidden="false" customHeight="false" outlineLevel="0" collapsed="false">
      <c r="A305" s="17" t="n">
        <v>1304</v>
      </c>
      <c r="B305" s="18" t="n">
        <v>45553</v>
      </c>
      <c r="C305" s="17" t="s">
        <v>31</v>
      </c>
      <c r="D305" s="17" t="s">
        <v>21</v>
      </c>
      <c r="E305" s="17" t="s">
        <v>40</v>
      </c>
      <c r="F305" s="17" t="s">
        <v>30</v>
      </c>
      <c r="G305" s="17" t="n">
        <v>9</v>
      </c>
      <c r="H305" s="19" t="n">
        <v>69.99</v>
      </c>
      <c r="I305" s="19" t="n">
        <f aca="false">G305*H305</f>
        <v>629.91</v>
      </c>
    </row>
    <row r="306" customFormat="false" ht="15" hidden="false" customHeight="false" outlineLevel="0" collapsed="false">
      <c r="A306" s="17" t="n">
        <v>1305</v>
      </c>
      <c r="B306" s="18" t="n">
        <v>45558</v>
      </c>
      <c r="C306" s="17" t="s">
        <v>34</v>
      </c>
      <c r="D306" s="17" t="s">
        <v>25</v>
      </c>
      <c r="E306" s="17" t="s">
        <v>38</v>
      </c>
      <c r="F306" s="17" t="s">
        <v>27</v>
      </c>
      <c r="G306" s="17" t="n">
        <v>1</v>
      </c>
      <c r="H306" s="19" t="n">
        <v>59.99</v>
      </c>
      <c r="I306" s="19" t="n">
        <f aca="false">G306*H306</f>
        <v>59.99</v>
      </c>
    </row>
    <row r="307" customFormat="false" ht="15" hidden="false" customHeight="false" outlineLevel="0" collapsed="false">
      <c r="A307" s="17" t="n">
        <v>1306</v>
      </c>
      <c r="B307" s="18" t="n">
        <v>45559</v>
      </c>
      <c r="C307" s="17" t="s">
        <v>20</v>
      </c>
      <c r="D307" s="17" t="s">
        <v>21</v>
      </c>
      <c r="E307" s="17" t="s">
        <v>40</v>
      </c>
      <c r="F307" s="17" t="s">
        <v>30</v>
      </c>
      <c r="G307" s="17" t="n">
        <v>9</v>
      </c>
      <c r="H307" s="19" t="n">
        <v>69.99</v>
      </c>
      <c r="I307" s="19" t="n">
        <f aca="false">G307*H307</f>
        <v>629.91</v>
      </c>
    </row>
    <row r="308" customFormat="false" ht="15" hidden="false" customHeight="false" outlineLevel="0" collapsed="false">
      <c r="A308" s="17" t="n">
        <v>1307</v>
      </c>
      <c r="B308" s="18" t="n">
        <v>45561</v>
      </c>
      <c r="C308" s="17" t="s">
        <v>31</v>
      </c>
      <c r="D308" s="17" t="s">
        <v>32</v>
      </c>
      <c r="E308" s="17" t="s">
        <v>33</v>
      </c>
      <c r="F308" s="17" t="s">
        <v>39</v>
      </c>
      <c r="G308" s="17" t="n">
        <v>8</v>
      </c>
      <c r="H308" s="19" t="n">
        <v>39.99</v>
      </c>
      <c r="I308" s="19" t="n">
        <f aca="false">G308*H308</f>
        <v>319.92</v>
      </c>
    </row>
    <row r="309" customFormat="false" ht="15" hidden="false" customHeight="false" outlineLevel="0" collapsed="false">
      <c r="A309" s="17" t="n">
        <v>1308</v>
      </c>
      <c r="B309" s="18" t="n">
        <v>45562</v>
      </c>
      <c r="C309" s="17" t="s">
        <v>31</v>
      </c>
      <c r="D309" s="17" t="s">
        <v>25</v>
      </c>
      <c r="E309" s="17" t="s">
        <v>38</v>
      </c>
      <c r="F309" s="17" t="s">
        <v>27</v>
      </c>
      <c r="G309" s="17" t="n">
        <v>12</v>
      </c>
      <c r="H309" s="19" t="n">
        <v>59.99</v>
      </c>
      <c r="I309" s="19" t="n">
        <f aca="false">G309*H309</f>
        <v>719.88</v>
      </c>
    </row>
    <row r="310" customFormat="false" ht="15" hidden="false" customHeight="false" outlineLevel="0" collapsed="false">
      <c r="A310" s="17" t="n">
        <v>1309</v>
      </c>
      <c r="B310" s="18" t="n">
        <v>45563</v>
      </c>
      <c r="C310" s="17" t="s">
        <v>24</v>
      </c>
      <c r="D310" s="17" t="s">
        <v>35</v>
      </c>
      <c r="E310" s="17" t="s">
        <v>45</v>
      </c>
      <c r="F310" s="17" t="s">
        <v>23</v>
      </c>
      <c r="G310" s="17" t="n">
        <v>3</v>
      </c>
      <c r="H310" s="19" t="n">
        <v>89.99</v>
      </c>
      <c r="I310" s="19" t="n">
        <f aca="false">G310*H310</f>
        <v>269.97</v>
      </c>
    </row>
    <row r="311" customFormat="false" ht="15" hidden="false" customHeight="false" outlineLevel="0" collapsed="false">
      <c r="A311" s="17" t="n">
        <v>1310</v>
      </c>
      <c r="B311" s="18" t="n">
        <v>45563</v>
      </c>
      <c r="C311" s="17" t="s">
        <v>34</v>
      </c>
      <c r="D311" s="17" t="s">
        <v>25</v>
      </c>
      <c r="E311" s="17" t="s">
        <v>38</v>
      </c>
      <c r="F311" s="17" t="s">
        <v>30</v>
      </c>
      <c r="G311" s="17" t="n">
        <v>10</v>
      </c>
      <c r="H311" s="19" t="n">
        <v>59.99</v>
      </c>
      <c r="I311" s="19" t="n">
        <f aca="false">G311*H311</f>
        <v>599.9</v>
      </c>
    </row>
    <row r="312" customFormat="false" ht="15" hidden="false" customHeight="false" outlineLevel="0" collapsed="false">
      <c r="A312" s="17" t="n">
        <v>1311</v>
      </c>
      <c r="B312" s="18" t="n">
        <v>45563</v>
      </c>
      <c r="C312" s="17" t="s">
        <v>20</v>
      </c>
      <c r="D312" s="17" t="s">
        <v>32</v>
      </c>
      <c r="E312" s="17" t="s">
        <v>42</v>
      </c>
      <c r="F312" s="17" t="s">
        <v>39</v>
      </c>
      <c r="G312" s="17" t="n">
        <v>1</v>
      </c>
      <c r="H312" s="19" t="n">
        <v>49.99</v>
      </c>
      <c r="I312" s="19" t="n">
        <f aca="false">G312*H312</f>
        <v>49.99</v>
      </c>
    </row>
    <row r="313" customFormat="false" ht="15" hidden="false" customHeight="false" outlineLevel="0" collapsed="false">
      <c r="A313" s="17" t="n">
        <v>1312</v>
      </c>
      <c r="B313" s="18" t="n">
        <v>45566</v>
      </c>
      <c r="C313" s="17" t="s">
        <v>24</v>
      </c>
      <c r="D313" s="17" t="s">
        <v>35</v>
      </c>
      <c r="E313" s="17" t="s">
        <v>36</v>
      </c>
      <c r="F313" s="17" t="s">
        <v>39</v>
      </c>
      <c r="G313" s="17" t="n">
        <v>3</v>
      </c>
      <c r="H313" s="19" t="n">
        <v>54.99</v>
      </c>
      <c r="I313" s="19" t="n">
        <f aca="false">G313*H313</f>
        <v>164.97</v>
      </c>
    </row>
    <row r="314" customFormat="false" ht="15" hidden="false" customHeight="false" outlineLevel="0" collapsed="false">
      <c r="A314" s="17" t="n">
        <v>1313</v>
      </c>
      <c r="B314" s="18" t="n">
        <v>45566</v>
      </c>
      <c r="C314" s="17" t="s">
        <v>24</v>
      </c>
      <c r="D314" s="17" t="s">
        <v>28</v>
      </c>
      <c r="E314" s="17" t="s">
        <v>29</v>
      </c>
      <c r="F314" s="17" t="s">
        <v>23</v>
      </c>
      <c r="G314" s="17" t="n">
        <v>4</v>
      </c>
      <c r="H314" s="19" t="n">
        <v>14.99</v>
      </c>
      <c r="I314" s="19" t="n">
        <f aca="false">G314*H314</f>
        <v>59.96</v>
      </c>
    </row>
    <row r="315" customFormat="false" ht="15" hidden="false" customHeight="false" outlineLevel="0" collapsed="false">
      <c r="A315" s="17" t="n">
        <v>1314</v>
      </c>
      <c r="B315" s="18" t="n">
        <v>45567</v>
      </c>
      <c r="C315" s="17" t="s">
        <v>20</v>
      </c>
      <c r="D315" s="17" t="s">
        <v>35</v>
      </c>
      <c r="E315" s="17" t="s">
        <v>36</v>
      </c>
      <c r="F315" s="17" t="s">
        <v>37</v>
      </c>
      <c r="G315" s="17" t="n">
        <v>9</v>
      </c>
      <c r="H315" s="19" t="n">
        <v>54.99</v>
      </c>
      <c r="I315" s="19" t="n">
        <f aca="false">G315*H315</f>
        <v>494.91</v>
      </c>
    </row>
    <row r="316" customFormat="false" ht="15" hidden="false" customHeight="false" outlineLevel="0" collapsed="false">
      <c r="A316" s="17" t="n">
        <v>1315</v>
      </c>
      <c r="B316" s="18" t="n">
        <v>45567</v>
      </c>
      <c r="C316" s="17" t="s">
        <v>24</v>
      </c>
      <c r="D316" s="17" t="s">
        <v>21</v>
      </c>
      <c r="E316" s="17" t="s">
        <v>40</v>
      </c>
      <c r="F316" s="17" t="s">
        <v>37</v>
      </c>
      <c r="G316" s="17" t="n">
        <v>7</v>
      </c>
      <c r="H316" s="19" t="n">
        <v>69.99</v>
      </c>
      <c r="I316" s="19" t="n">
        <f aca="false">G316*H316</f>
        <v>489.93</v>
      </c>
    </row>
    <row r="317" customFormat="false" ht="15" hidden="false" customHeight="false" outlineLevel="0" collapsed="false">
      <c r="A317" s="17" t="n">
        <v>1316</v>
      </c>
      <c r="B317" s="18" t="n">
        <v>45568</v>
      </c>
      <c r="C317" s="17" t="s">
        <v>20</v>
      </c>
      <c r="D317" s="17" t="s">
        <v>32</v>
      </c>
      <c r="E317" s="17" t="s">
        <v>42</v>
      </c>
      <c r="F317" s="17" t="s">
        <v>23</v>
      </c>
      <c r="G317" s="17" t="n">
        <v>11</v>
      </c>
      <c r="H317" s="19" t="n">
        <v>49.99</v>
      </c>
      <c r="I317" s="19" t="n">
        <f aca="false">G317*H317</f>
        <v>549.89</v>
      </c>
    </row>
    <row r="318" customFormat="false" ht="15" hidden="false" customHeight="false" outlineLevel="0" collapsed="false">
      <c r="A318" s="17" t="n">
        <v>1317</v>
      </c>
      <c r="B318" s="18" t="n">
        <v>45569</v>
      </c>
      <c r="C318" s="17" t="s">
        <v>20</v>
      </c>
      <c r="D318" s="17" t="s">
        <v>32</v>
      </c>
      <c r="E318" s="17" t="s">
        <v>42</v>
      </c>
      <c r="F318" s="17" t="s">
        <v>43</v>
      </c>
      <c r="G318" s="17" t="n">
        <v>1</v>
      </c>
      <c r="H318" s="19" t="n">
        <v>49.99</v>
      </c>
      <c r="I318" s="19" t="n">
        <f aca="false">G318*H318</f>
        <v>49.99</v>
      </c>
    </row>
    <row r="319" customFormat="false" ht="15" hidden="false" customHeight="false" outlineLevel="0" collapsed="false">
      <c r="A319" s="17" t="n">
        <v>1318</v>
      </c>
      <c r="B319" s="18" t="n">
        <v>45570</v>
      </c>
      <c r="C319" s="17" t="s">
        <v>34</v>
      </c>
      <c r="D319" s="17" t="s">
        <v>35</v>
      </c>
      <c r="E319" s="17" t="s">
        <v>45</v>
      </c>
      <c r="F319" s="17" t="s">
        <v>37</v>
      </c>
      <c r="G319" s="17" t="n">
        <v>4</v>
      </c>
      <c r="H319" s="19" t="n">
        <v>89.99</v>
      </c>
      <c r="I319" s="19" t="n">
        <f aca="false">G319*H319</f>
        <v>359.96</v>
      </c>
    </row>
    <row r="320" customFormat="false" ht="15" hidden="false" customHeight="false" outlineLevel="0" collapsed="false">
      <c r="A320" s="17" t="n">
        <v>1319</v>
      </c>
      <c r="B320" s="18" t="n">
        <v>45570</v>
      </c>
      <c r="C320" s="17" t="s">
        <v>24</v>
      </c>
      <c r="D320" s="17" t="s">
        <v>25</v>
      </c>
      <c r="E320" s="17" t="s">
        <v>44</v>
      </c>
      <c r="F320" s="17" t="s">
        <v>37</v>
      </c>
      <c r="G320" s="17" t="n">
        <v>3</v>
      </c>
      <c r="H320" s="19" t="n">
        <v>74.99</v>
      </c>
      <c r="I320" s="19" t="n">
        <f aca="false">G320*H320</f>
        <v>224.97</v>
      </c>
    </row>
    <row r="321" customFormat="false" ht="15" hidden="false" customHeight="false" outlineLevel="0" collapsed="false">
      <c r="A321" s="17" t="n">
        <v>1320</v>
      </c>
      <c r="B321" s="18" t="n">
        <v>45571</v>
      </c>
      <c r="C321" s="17" t="s">
        <v>24</v>
      </c>
      <c r="D321" s="17" t="s">
        <v>21</v>
      </c>
      <c r="E321" s="17" t="s">
        <v>22</v>
      </c>
      <c r="F321" s="17" t="s">
        <v>39</v>
      </c>
      <c r="G321" s="17" t="n">
        <v>4</v>
      </c>
      <c r="H321" s="19" t="n">
        <v>24.99</v>
      </c>
      <c r="I321" s="19" t="n">
        <f aca="false">G321*H321</f>
        <v>99.96</v>
      </c>
    </row>
    <row r="322" customFormat="false" ht="15" hidden="false" customHeight="false" outlineLevel="0" collapsed="false">
      <c r="A322" s="17" t="n">
        <v>1321</v>
      </c>
      <c r="B322" s="18" t="n">
        <v>45571</v>
      </c>
      <c r="C322" s="17" t="s">
        <v>34</v>
      </c>
      <c r="D322" s="17" t="s">
        <v>32</v>
      </c>
      <c r="E322" s="17" t="s">
        <v>33</v>
      </c>
      <c r="F322" s="17" t="s">
        <v>43</v>
      </c>
      <c r="G322" s="17" t="n">
        <v>1</v>
      </c>
      <c r="H322" s="19" t="n">
        <v>39.99</v>
      </c>
      <c r="I322" s="19" t="n">
        <f aca="false">G322*H322</f>
        <v>39.99</v>
      </c>
    </row>
    <row r="323" customFormat="false" ht="15" hidden="false" customHeight="false" outlineLevel="0" collapsed="false">
      <c r="A323" s="17" t="n">
        <v>1322</v>
      </c>
      <c r="B323" s="18" t="n">
        <v>45573</v>
      </c>
      <c r="C323" s="17" t="s">
        <v>31</v>
      </c>
      <c r="D323" s="17" t="s">
        <v>32</v>
      </c>
      <c r="E323" s="17" t="s">
        <v>33</v>
      </c>
      <c r="F323" s="17" t="s">
        <v>27</v>
      </c>
      <c r="G323" s="17" t="n">
        <v>9</v>
      </c>
      <c r="H323" s="19" t="n">
        <v>39.99</v>
      </c>
      <c r="I323" s="19" t="n">
        <f aca="false">G323*H323</f>
        <v>359.91</v>
      </c>
    </row>
    <row r="324" customFormat="false" ht="15" hidden="false" customHeight="false" outlineLevel="0" collapsed="false">
      <c r="A324" s="17" t="n">
        <v>1323</v>
      </c>
      <c r="B324" s="18" t="n">
        <v>45573</v>
      </c>
      <c r="C324" s="17" t="s">
        <v>20</v>
      </c>
      <c r="D324" s="17" t="s">
        <v>35</v>
      </c>
      <c r="E324" s="17" t="s">
        <v>41</v>
      </c>
      <c r="F324" s="17" t="s">
        <v>37</v>
      </c>
      <c r="G324" s="17" t="n">
        <v>3</v>
      </c>
      <c r="H324" s="19" t="n">
        <v>44.99</v>
      </c>
      <c r="I324" s="19" t="n">
        <f aca="false">G324*H324</f>
        <v>134.97</v>
      </c>
    </row>
    <row r="325" customFormat="false" ht="15" hidden="false" customHeight="false" outlineLevel="0" collapsed="false">
      <c r="A325" s="17" t="n">
        <v>1324</v>
      </c>
      <c r="B325" s="18" t="n">
        <v>45574</v>
      </c>
      <c r="C325" s="17" t="s">
        <v>20</v>
      </c>
      <c r="D325" s="17" t="s">
        <v>25</v>
      </c>
      <c r="E325" s="17" t="s">
        <v>38</v>
      </c>
      <c r="F325" s="17" t="s">
        <v>30</v>
      </c>
      <c r="G325" s="17" t="n">
        <v>4</v>
      </c>
      <c r="H325" s="19" t="n">
        <v>59.99</v>
      </c>
      <c r="I325" s="19" t="n">
        <f aca="false">G325*H325</f>
        <v>239.96</v>
      </c>
    </row>
    <row r="326" customFormat="false" ht="15" hidden="false" customHeight="false" outlineLevel="0" collapsed="false">
      <c r="A326" s="17" t="n">
        <v>1325</v>
      </c>
      <c r="B326" s="18" t="n">
        <v>45574</v>
      </c>
      <c r="C326" s="17" t="s">
        <v>24</v>
      </c>
      <c r="D326" s="17" t="s">
        <v>28</v>
      </c>
      <c r="E326" s="17" t="s">
        <v>29</v>
      </c>
      <c r="F326" s="17" t="s">
        <v>39</v>
      </c>
      <c r="G326" s="17" t="n">
        <v>8</v>
      </c>
      <c r="H326" s="19" t="n">
        <v>14.99</v>
      </c>
      <c r="I326" s="19" t="n">
        <f aca="false">G326*H326</f>
        <v>119.92</v>
      </c>
    </row>
    <row r="327" customFormat="false" ht="15" hidden="false" customHeight="false" outlineLevel="0" collapsed="false">
      <c r="A327" s="17" t="n">
        <v>1326</v>
      </c>
      <c r="B327" s="18" t="n">
        <v>45574</v>
      </c>
      <c r="C327" s="17" t="s">
        <v>34</v>
      </c>
      <c r="D327" s="17" t="s">
        <v>32</v>
      </c>
      <c r="E327" s="17" t="s">
        <v>42</v>
      </c>
      <c r="F327" s="17" t="s">
        <v>43</v>
      </c>
      <c r="G327" s="17" t="n">
        <v>4</v>
      </c>
      <c r="H327" s="19" t="n">
        <v>49.99</v>
      </c>
      <c r="I327" s="19" t="n">
        <f aca="false">G327*H327</f>
        <v>199.96</v>
      </c>
    </row>
    <row r="328" customFormat="false" ht="15" hidden="false" customHeight="false" outlineLevel="0" collapsed="false">
      <c r="A328" s="17" t="n">
        <v>1327</v>
      </c>
      <c r="B328" s="18" t="n">
        <v>45575</v>
      </c>
      <c r="C328" s="17" t="s">
        <v>24</v>
      </c>
      <c r="D328" s="17" t="s">
        <v>32</v>
      </c>
      <c r="E328" s="17" t="s">
        <v>46</v>
      </c>
      <c r="F328" s="17" t="s">
        <v>39</v>
      </c>
      <c r="G328" s="17" t="n">
        <v>11</v>
      </c>
      <c r="H328" s="19" t="n">
        <v>129.99</v>
      </c>
      <c r="I328" s="19" t="n">
        <f aca="false">G328*H328</f>
        <v>1429.89</v>
      </c>
    </row>
    <row r="329" customFormat="false" ht="15" hidden="false" customHeight="false" outlineLevel="0" collapsed="false">
      <c r="A329" s="17" t="n">
        <v>1328</v>
      </c>
      <c r="B329" s="18" t="n">
        <v>45576</v>
      </c>
      <c r="C329" s="17" t="s">
        <v>34</v>
      </c>
      <c r="D329" s="17" t="s">
        <v>21</v>
      </c>
      <c r="E329" s="17" t="s">
        <v>40</v>
      </c>
      <c r="F329" s="17" t="s">
        <v>23</v>
      </c>
      <c r="G329" s="17" t="n">
        <v>4</v>
      </c>
      <c r="H329" s="19" t="n">
        <v>69.99</v>
      </c>
      <c r="I329" s="19" t="n">
        <f aca="false">G329*H329</f>
        <v>279.96</v>
      </c>
    </row>
    <row r="330" customFormat="false" ht="15" hidden="false" customHeight="false" outlineLevel="0" collapsed="false">
      <c r="A330" s="17" t="n">
        <v>1329</v>
      </c>
      <c r="B330" s="18" t="n">
        <v>45577</v>
      </c>
      <c r="C330" s="17" t="s">
        <v>34</v>
      </c>
      <c r="D330" s="17" t="s">
        <v>21</v>
      </c>
      <c r="E330" s="17" t="s">
        <v>40</v>
      </c>
      <c r="F330" s="17" t="s">
        <v>37</v>
      </c>
      <c r="G330" s="17" t="n">
        <v>5</v>
      </c>
      <c r="H330" s="19" t="n">
        <v>69.99</v>
      </c>
      <c r="I330" s="19" t="n">
        <f aca="false">G330*H330</f>
        <v>349.95</v>
      </c>
    </row>
    <row r="331" customFormat="false" ht="15" hidden="false" customHeight="false" outlineLevel="0" collapsed="false">
      <c r="A331" s="17" t="n">
        <v>1330</v>
      </c>
      <c r="B331" s="18" t="n">
        <v>45579</v>
      </c>
      <c r="C331" s="17" t="s">
        <v>20</v>
      </c>
      <c r="D331" s="17" t="s">
        <v>35</v>
      </c>
      <c r="E331" s="17" t="s">
        <v>41</v>
      </c>
      <c r="F331" s="17" t="s">
        <v>27</v>
      </c>
      <c r="G331" s="17" t="n">
        <v>10</v>
      </c>
      <c r="H331" s="19" t="n">
        <v>44.99</v>
      </c>
      <c r="I331" s="19" t="n">
        <f aca="false">G331*H331</f>
        <v>449.9</v>
      </c>
    </row>
    <row r="332" customFormat="false" ht="15" hidden="false" customHeight="false" outlineLevel="0" collapsed="false">
      <c r="A332" s="17" t="n">
        <v>1331</v>
      </c>
      <c r="B332" s="18" t="n">
        <v>45580</v>
      </c>
      <c r="C332" s="17" t="s">
        <v>31</v>
      </c>
      <c r="D332" s="17" t="s">
        <v>21</v>
      </c>
      <c r="E332" s="17" t="s">
        <v>40</v>
      </c>
      <c r="F332" s="17" t="s">
        <v>43</v>
      </c>
      <c r="G332" s="17" t="n">
        <v>11</v>
      </c>
      <c r="H332" s="19" t="n">
        <v>69.99</v>
      </c>
      <c r="I332" s="19" t="n">
        <f aca="false">G332*H332</f>
        <v>769.89</v>
      </c>
    </row>
    <row r="333" customFormat="false" ht="15" hidden="false" customHeight="false" outlineLevel="0" collapsed="false">
      <c r="A333" s="17" t="n">
        <v>1332</v>
      </c>
      <c r="B333" s="18" t="n">
        <v>45581</v>
      </c>
      <c r="C333" s="17" t="s">
        <v>31</v>
      </c>
      <c r="D333" s="17" t="s">
        <v>21</v>
      </c>
      <c r="E333" s="17" t="s">
        <v>40</v>
      </c>
      <c r="F333" s="17" t="s">
        <v>30</v>
      </c>
      <c r="G333" s="17" t="n">
        <v>12</v>
      </c>
      <c r="H333" s="19" t="n">
        <v>69.99</v>
      </c>
      <c r="I333" s="19" t="n">
        <f aca="false">G333*H333</f>
        <v>839.88</v>
      </c>
    </row>
    <row r="334" customFormat="false" ht="15" hidden="false" customHeight="false" outlineLevel="0" collapsed="false">
      <c r="A334" s="17" t="n">
        <v>1333</v>
      </c>
      <c r="B334" s="18" t="n">
        <v>45583</v>
      </c>
      <c r="C334" s="17" t="s">
        <v>34</v>
      </c>
      <c r="D334" s="17" t="s">
        <v>25</v>
      </c>
      <c r="E334" s="17" t="s">
        <v>38</v>
      </c>
      <c r="F334" s="17" t="s">
        <v>43</v>
      </c>
      <c r="G334" s="17" t="n">
        <v>8</v>
      </c>
      <c r="H334" s="19" t="n">
        <v>59.99</v>
      </c>
      <c r="I334" s="19" t="n">
        <f aca="false">G334*H334</f>
        <v>479.92</v>
      </c>
    </row>
    <row r="335" customFormat="false" ht="15" hidden="false" customHeight="false" outlineLevel="0" collapsed="false">
      <c r="A335" s="17" t="n">
        <v>1334</v>
      </c>
      <c r="B335" s="18" t="n">
        <v>45586</v>
      </c>
      <c r="C335" s="17" t="s">
        <v>34</v>
      </c>
      <c r="D335" s="17" t="s">
        <v>35</v>
      </c>
      <c r="E335" s="17" t="s">
        <v>45</v>
      </c>
      <c r="F335" s="17" t="s">
        <v>27</v>
      </c>
      <c r="G335" s="17" t="n">
        <v>11</v>
      </c>
      <c r="H335" s="19" t="n">
        <v>89.99</v>
      </c>
      <c r="I335" s="19" t="n">
        <f aca="false">G335*H335</f>
        <v>989.89</v>
      </c>
    </row>
    <row r="336" customFormat="false" ht="15" hidden="false" customHeight="false" outlineLevel="0" collapsed="false">
      <c r="A336" s="17" t="n">
        <v>1335</v>
      </c>
      <c r="B336" s="18" t="n">
        <v>45586</v>
      </c>
      <c r="C336" s="17" t="s">
        <v>24</v>
      </c>
      <c r="D336" s="17" t="s">
        <v>25</v>
      </c>
      <c r="E336" s="17" t="s">
        <v>44</v>
      </c>
      <c r="F336" s="17" t="s">
        <v>37</v>
      </c>
      <c r="G336" s="17" t="n">
        <v>7</v>
      </c>
      <c r="H336" s="19" t="n">
        <v>74.99</v>
      </c>
      <c r="I336" s="19" t="n">
        <f aca="false">G336*H336</f>
        <v>524.93</v>
      </c>
    </row>
    <row r="337" customFormat="false" ht="15" hidden="false" customHeight="false" outlineLevel="0" collapsed="false">
      <c r="A337" s="17" t="n">
        <v>1336</v>
      </c>
      <c r="B337" s="18" t="n">
        <v>45587</v>
      </c>
      <c r="C337" s="17" t="s">
        <v>24</v>
      </c>
      <c r="D337" s="17" t="s">
        <v>35</v>
      </c>
      <c r="E337" s="17" t="s">
        <v>41</v>
      </c>
      <c r="F337" s="17" t="s">
        <v>23</v>
      </c>
      <c r="G337" s="17" t="n">
        <v>11</v>
      </c>
      <c r="H337" s="19" t="n">
        <v>44.99</v>
      </c>
      <c r="I337" s="19" t="n">
        <f aca="false">G337*H337</f>
        <v>494.89</v>
      </c>
    </row>
    <row r="338" customFormat="false" ht="15" hidden="false" customHeight="false" outlineLevel="0" collapsed="false">
      <c r="A338" s="17" t="n">
        <v>1337</v>
      </c>
      <c r="B338" s="18" t="n">
        <v>45588</v>
      </c>
      <c r="C338" s="17" t="s">
        <v>31</v>
      </c>
      <c r="D338" s="17" t="s">
        <v>21</v>
      </c>
      <c r="E338" s="17" t="s">
        <v>22</v>
      </c>
      <c r="F338" s="17" t="s">
        <v>30</v>
      </c>
      <c r="G338" s="17" t="n">
        <v>2</v>
      </c>
      <c r="H338" s="19" t="n">
        <v>24.99</v>
      </c>
      <c r="I338" s="19" t="n">
        <f aca="false">G338*H338</f>
        <v>49.98</v>
      </c>
    </row>
    <row r="339" customFormat="false" ht="15" hidden="false" customHeight="false" outlineLevel="0" collapsed="false">
      <c r="A339" s="17" t="n">
        <v>1338</v>
      </c>
      <c r="B339" s="18" t="n">
        <v>45588</v>
      </c>
      <c r="C339" s="17" t="s">
        <v>20</v>
      </c>
      <c r="D339" s="17" t="s">
        <v>32</v>
      </c>
      <c r="E339" s="17" t="s">
        <v>42</v>
      </c>
      <c r="F339" s="17" t="s">
        <v>30</v>
      </c>
      <c r="G339" s="17" t="n">
        <v>11</v>
      </c>
      <c r="H339" s="19" t="n">
        <v>49.99</v>
      </c>
      <c r="I339" s="19" t="n">
        <f aca="false">G339*H339</f>
        <v>549.89</v>
      </c>
    </row>
    <row r="340" customFormat="false" ht="15" hidden="false" customHeight="false" outlineLevel="0" collapsed="false">
      <c r="A340" s="17" t="n">
        <v>1339</v>
      </c>
      <c r="B340" s="18" t="n">
        <v>45588</v>
      </c>
      <c r="C340" s="17" t="s">
        <v>20</v>
      </c>
      <c r="D340" s="17" t="s">
        <v>35</v>
      </c>
      <c r="E340" s="17" t="s">
        <v>36</v>
      </c>
      <c r="F340" s="17" t="s">
        <v>27</v>
      </c>
      <c r="G340" s="17" t="n">
        <v>6</v>
      </c>
      <c r="H340" s="19" t="n">
        <v>54.99</v>
      </c>
      <c r="I340" s="19" t="n">
        <f aca="false">G340*H340</f>
        <v>329.94</v>
      </c>
    </row>
    <row r="341" customFormat="false" ht="15" hidden="false" customHeight="false" outlineLevel="0" collapsed="false">
      <c r="A341" s="17" t="n">
        <v>1340</v>
      </c>
      <c r="B341" s="18" t="n">
        <v>45589</v>
      </c>
      <c r="C341" s="17" t="s">
        <v>34</v>
      </c>
      <c r="D341" s="17" t="s">
        <v>25</v>
      </c>
      <c r="E341" s="17" t="s">
        <v>26</v>
      </c>
      <c r="F341" s="17" t="s">
        <v>30</v>
      </c>
      <c r="G341" s="17" t="n">
        <v>9</v>
      </c>
      <c r="H341" s="19" t="n">
        <v>19.99</v>
      </c>
      <c r="I341" s="19" t="n">
        <f aca="false">G341*H341</f>
        <v>179.91</v>
      </c>
    </row>
    <row r="342" customFormat="false" ht="15" hidden="false" customHeight="false" outlineLevel="0" collapsed="false">
      <c r="A342" s="17" t="n">
        <v>1341</v>
      </c>
      <c r="B342" s="18" t="n">
        <v>45591</v>
      </c>
      <c r="C342" s="17" t="s">
        <v>34</v>
      </c>
      <c r="D342" s="17" t="s">
        <v>35</v>
      </c>
      <c r="E342" s="17" t="s">
        <v>45</v>
      </c>
      <c r="F342" s="17" t="s">
        <v>43</v>
      </c>
      <c r="G342" s="17" t="n">
        <v>8</v>
      </c>
      <c r="H342" s="19" t="n">
        <v>89.99</v>
      </c>
      <c r="I342" s="19" t="n">
        <f aca="false">G342*H342</f>
        <v>719.92</v>
      </c>
    </row>
    <row r="343" customFormat="false" ht="15" hidden="false" customHeight="false" outlineLevel="0" collapsed="false">
      <c r="A343" s="17" t="n">
        <v>1342</v>
      </c>
      <c r="B343" s="18" t="n">
        <v>45591</v>
      </c>
      <c r="C343" s="17" t="s">
        <v>24</v>
      </c>
      <c r="D343" s="17" t="s">
        <v>35</v>
      </c>
      <c r="E343" s="17" t="s">
        <v>36</v>
      </c>
      <c r="F343" s="17" t="s">
        <v>43</v>
      </c>
      <c r="G343" s="17" t="n">
        <v>9</v>
      </c>
      <c r="H343" s="19" t="n">
        <v>54.99</v>
      </c>
      <c r="I343" s="19" t="n">
        <f aca="false">G343*H343</f>
        <v>494.91</v>
      </c>
    </row>
    <row r="344" customFormat="false" ht="15" hidden="false" customHeight="false" outlineLevel="0" collapsed="false">
      <c r="A344" s="17" t="n">
        <v>1343</v>
      </c>
      <c r="B344" s="18" t="n">
        <v>45592</v>
      </c>
      <c r="C344" s="17" t="s">
        <v>20</v>
      </c>
      <c r="D344" s="17" t="s">
        <v>32</v>
      </c>
      <c r="E344" s="17" t="s">
        <v>42</v>
      </c>
      <c r="F344" s="17" t="s">
        <v>30</v>
      </c>
      <c r="G344" s="17" t="n">
        <v>1</v>
      </c>
      <c r="H344" s="19" t="n">
        <v>49.99</v>
      </c>
      <c r="I344" s="19" t="n">
        <f aca="false">G344*H344</f>
        <v>49.99</v>
      </c>
    </row>
    <row r="345" customFormat="false" ht="15" hidden="false" customHeight="false" outlineLevel="0" collapsed="false">
      <c r="A345" s="17" t="n">
        <v>1344</v>
      </c>
      <c r="B345" s="18" t="n">
        <v>45593</v>
      </c>
      <c r="C345" s="17" t="s">
        <v>24</v>
      </c>
      <c r="D345" s="17" t="s">
        <v>21</v>
      </c>
      <c r="E345" s="17" t="s">
        <v>40</v>
      </c>
      <c r="F345" s="17" t="s">
        <v>39</v>
      </c>
      <c r="G345" s="17" t="n">
        <v>2</v>
      </c>
      <c r="H345" s="19" t="n">
        <v>69.99</v>
      </c>
      <c r="I345" s="19" t="n">
        <f aca="false">G345*H345</f>
        <v>139.98</v>
      </c>
    </row>
    <row r="346" customFormat="false" ht="15" hidden="false" customHeight="false" outlineLevel="0" collapsed="false">
      <c r="A346" s="17" t="n">
        <v>1345</v>
      </c>
      <c r="B346" s="18" t="n">
        <v>45593</v>
      </c>
      <c r="C346" s="17" t="s">
        <v>24</v>
      </c>
      <c r="D346" s="17" t="s">
        <v>35</v>
      </c>
      <c r="E346" s="17" t="s">
        <v>41</v>
      </c>
      <c r="F346" s="17" t="s">
        <v>30</v>
      </c>
      <c r="G346" s="17" t="n">
        <v>4</v>
      </c>
      <c r="H346" s="19" t="n">
        <v>44.99</v>
      </c>
      <c r="I346" s="19" t="n">
        <f aca="false">G346*H346</f>
        <v>179.96</v>
      </c>
    </row>
    <row r="347" customFormat="false" ht="15" hidden="false" customHeight="false" outlineLevel="0" collapsed="false">
      <c r="A347" s="17" t="n">
        <v>1346</v>
      </c>
      <c r="B347" s="18" t="n">
        <v>45593</v>
      </c>
      <c r="C347" s="17" t="s">
        <v>31</v>
      </c>
      <c r="D347" s="17" t="s">
        <v>35</v>
      </c>
      <c r="E347" s="17" t="s">
        <v>45</v>
      </c>
      <c r="F347" s="17" t="s">
        <v>39</v>
      </c>
      <c r="G347" s="17" t="n">
        <v>5</v>
      </c>
      <c r="H347" s="19" t="n">
        <v>89.99</v>
      </c>
      <c r="I347" s="19" t="n">
        <f aca="false">G347*H347</f>
        <v>449.95</v>
      </c>
    </row>
    <row r="348" customFormat="false" ht="15" hidden="false" customHeight="false" outlineLevel="0" collapsed="false">
      <c r="A348" s="17" t="n">
        <v>1347</v>
      </c>
      <c r="B348" s="18" t="n">
        <v>45597</v>
      </c>
      <c r="C348" s="17" t="s">
        <v>20</v>
      </c>
      <c r="D348" s="17" t="s">
        <v>35</v>
      </c>
      <c r="E348" s="17" t="s">
        <v>45</v>
      </c>
      <c r="F348" s="17" t="s">
        <v>27</v>
      </c>
      <c r="G348" s="17" t="n">
        <v>9</v>
      </c>
      <c r="H348" s="19" t="n">
        <v>89.99</v>
      </c>
      <c r="I348" s="19" t="n">
        <f aca="false">G348*H348</f>
        <v>809.91</v>
      </c>
    </row>
    <row r="349" customFormat="false" ht="15" hidden="false" customHeight="false" outlineLevel="0" collapsed="false">
      <c r="A349" s="17" t="n">
        <v>1348</v>
      </c>
      <c r="B349" s="18" t="n">
        <v>45597</v>
      </c>
      <c r="C349" s="17" t="s">
        <v>34</v>
      </c>
      <c r="D349" s="17" t="s">
        <v>32</v>
      </c>
      <c r="E349" s="17" t="s">
        <v>33</v>
      </c>
      <c r="F349" s="17" t="s">
        <v>39</v>
      </c>
      <c r="G349" s="17" t="n">
        <v>13</v>
      </c>
      <c r="H349" s="19" t="n">
        <v>39.99</v>
      </c>
      <c r="I349" s="19" t="n">
        <f aca="false">G349*H349</f>
        <v>519.87</v>
      </c>
    </row>
    <row r="350" customFormat="false" ht="15" hidden="false" customHeight="false" outlineLevel="0" collapsed="false">
      <c r="A350" s="17" t="n">
        <v>1349</v>
      </c>
      <c r="B350" s="18" t="n">
        <v>45598</v>
      </c>
      <c r="C350" s="17" t="s">
        <v>20</v>
      </c>
      <c r="D350" s="17" t="s">
        <v>32</v>
      </c>
      <c r="E350" s="17" t="s">
        <v>42</v>
      </c>
      <c r="F350" s="17" t="s">
        <v>43</v>
      </c>
      <c r="G350" s="17" t="n">
        <v>6</v>
      </c>
      <c r="H350" s="19" t="n">
        <v>49.99</v>
      </c>
      <c r="I350" s="19" t="n">
        <f aca="false">G350*H350</f>
        <v>299.94</v>
      </c>
    </row>
    <row r="351" customFormat="false" ht="15" hidden="false" customHeight="false" outlineLevel="0" collapsed="false">
      <c r="A351" s="17" t="n">
        <v>1350</v>
      </c>
      <c r="B351" s="18" t="n">
        <v>45598</v>
      </c>
      <c r="C351" s="17" t="s">
        <v>24</v>
      </c>
      <c r="D351" s="17" t="s">
        <v>35</v>
      </c>
      <c r="E351" s="17" t="s">
        <v>41</v>
      </c>
      <c r="F351" s="17" t="s">
        <v>43</v>
      </c>
      <c r="G351" s="17" t="n">
        <v>11</v>
      </c>
      <c r="H351" s="19" t="n">
        <v>44.99</v>
      </c>
      <c r="I351" s="19" t="n">
        <f aca="false">G351*H351</f>
        <v>494.89</v>
      </c>
    </row>
    <row r="352" customFormat="false" ht="15" hidden="false" customHeight="false" outlineLevel="0" collapsed="false">
      <c r="A352" s="17" t="n">
        <v>1351</v>
      </c>
      <c r="B352" s="18" t="n">
        <v>45600</v>
      </c>
      <c r="C352" s="17" t="s">
        <v>20</v>
      </c>
      <c r="D352" s="17" t="s">
        <v>32</v>
      </c>
      <c r="E352" s="17" t="s">
        <v>46</v>
      </c>
      <c r="F352" s="17" t="s">
        <v>37</v>
      </c>
      <c r="G352" s="17" t="n">
        <v>2</v>
      </c>
      <c r="H352" s="19" t="n">
        <v>129.99</v>
      </c>
      <c r="I352" s="19" t="n">
        <f aca="false">G352*H352</f>
        <v>259.98</v>
      </c>
    </row>
    <row r="353" customFormat="false" ht="15" hidden="false" customHeight="false" outlineLevel="0" collapsed="false">
      <c r="A353" s="17" t="n">
        <v>1352</v>
      </c>
      <c r="B353" s="18" t="n">
        <v>45600</v>
      </c>
      <c r="C353" s="17" t="s">
        <v>34</v>
      </c>
      <c r="D353" s="17" t="s">
        <v>28</v>
      </c>
      <c r="E353" s="17" t="s">
        <v>29</v>
      </c>
      <c r="F353" s="17" t="s">
        <v>23</v>
      </c>
      <c r="G353" s="17" t="n">
        <v>15</v>
      </c>
      <c r="H353" s="19" t="n">
        <v>14.99</v>
      </c>
      <c r="I353" s="19" t="n">
        <f aca="false">G353*H353</f>
        <v>224.85</v>
      </c>
    </row>
    <row r="354" customFormat="false" ht="15" hidden="false" customHeight="false" outlineLevel="0" collapsed="false">
      <c r="A354" s="17" t="n">
        <v>1353</v>
      </c>
      <c r="B354" s="18" t="n">
        <v>45601</v>
      </c>
      <c r="C354" s="17" t="s">
        <v>20</v>
      </c>
      <c r="D354" s="17" t="s">
        <v>25</v>
      </c>
      <c r="E354" s="17" t="s">
        <v>44</v>
      </c>
      <c r="F354" s="17" t="s">
        <v>23</v>
      </c>
      <c r="G354" s="17" t="n">
        <v>16</v>
      </c>
      <c r="H354" s="19" t="n">
        <v>74.99</v>
      </c>
      <c r="I354" s="19" t="n">
        <f aca="false">G354*H354</f>
        <v>1199.84</v>
      </c>
    </row>
    <row r="355" customFormat="false" ht="15" hidden="false" customHeight="false" outlineLevel="0" collapsed="false">
      <c r="A355" s="17" t="n">
        <v>1354</v>
      </c>
      <c r="B355" s="18" t="n">
        <v>45601</v>
      </c>
      <c r="C355" s="17" t="s">
        <v>20</v>
      </c>
      <c r="D355" s="17" t="s">
        <v>32</v>
      </c>
      <c r="E355" s="17" t="s">
        <v>46</v>
      </c>
      <c r="F355" s="17" t="s">
        <v>43</v>
      </c>
      <c r="G355" s="17" t="n">
        <v>14</v>
      </c>
      <c r="H355" s="19" t="n">
        <v>129.99</v>
      </c>
      <c r="I355" s="19" t="n">
        <f aca="false">G355*H355</f>
        <v>1819.86</v>
      </c>
    </row>
    <row r="356" customFormat="false" ht="15" hidden="false" customHeight="false" outlineLevel="0" collapsed="false">
      <c r="A356" s="17" t="n">
        <v>1355</v>
      </c>
      <c r="B356" s="18" t="n">
        <v>45601</v>
      </c>
      <c r="C356" s="17" t="s">
        <v>34</v>
      </c>
      <c r="D356" s="17" t="s">
        <v>32</v>
      </c>
      <c r="E356" s="17" t="s">
        <v>46</v>
      </c>
      <c r="F356" s="17" t="s">
        <v>37</v>
      </c>
      <c r="G356" s="17" t="n">
        <v>9</v>
      </c>
      <c r="H356" s="19" t="n">
        <v>129.99</v>
      </c>
      <c r="I356" s="19" t="n">
        <f aca="false">G356*H356</f>
        <v>1169.91</v>
      </c>
    </row>
    <row r="357" customFormat="false" ht="15" hidden="false" customHeight="false" outlineLevel="0" collapsed="false">
      <c r="A357" s="17" t="n">
        <v>1356</v>
      </c>
      <c r="B357" s="18" t="n">
        <v>45602</v>
      </c>
      <c r="C357" s="17" t="s">
        <v>24</v>
      </c>
      <c r="D357" s="17" t="s">
        <v>21</v>
      </c>
      <c r="E357" s="17" t="s">
        <v>22</v>
      </c>
      <c r="F357" s="17" t="s">
        <v>30</v>
      </c>
      <c r="G357" s="17" t="n">
        <v>10</v>
      </c>
      <c r="H357" s="19" t="n">
        <v>24.99</v>
      </c>
      <c r="I357" s="19" t="n">
        <f aca="false">G357*H357</f>
        <v>249.9</v>
      </c>
    </row>
    <row r="358" customFormat="false" ht="15" hidden="false" customHeight="false" outlineLevel="0" collapsed="false">
      <c r="A358" s="17" t="n">
        <v>1357</v>
      </c>
      <c r="B358" s="18" t="n">
        <v>45602</v>
      </c>
      <c r="C358" s="17" t="s">
        <v>31</v>
      </c>
      <c r="D358" s="17" t="s">
        <v>21</v>
      </c>
      <c r="E358" s="17" t="s">
        <v>22</v>
      </c>
      <c r="F358" s="17" t="s">
        <v>23</v>
      </c>
      <c r="G358" s="17" t="n">
        <v>5</v>
      </c>
      <c r="H358" s="19" t="n">
        <v>24.99</v>
      </c>
      <c r="I358" s="19" t="n">
        <f aca="false">G358*H358</f>
        <v>124.95</v>
      </c>
    </row>
    <row r="359" customFormat="false" ht="15" hidden="false" customHeight="false" outlineLevel="0" collapsed="false">
      <c r="A359" s="17" t="n">
        <v>1358</v>
      </c>
      <c r="B359" s="18" t="n">
        <v>45602</v>
      </c>
      <c r="C359" s="17" t="s">
        <v>24</v>
      </c>
      <c r="D359" s="17" t="s">
        <v>35</v>
      </c>
      <c r="E359" s="17" t="s">
        <v>45</v>
      </c>
      <c r="F359" s="17" t="s">
        <v>30</v>
      </c>
      <c r="G359" s="17" t="n">
        <v>17</v>
      </c>
      <c r="H359" s="19" t="n">
        <v>89.99</v>
      </c>
      <c r="I359" s="19" t="n">
        <f aca="false">G359*H359</f>
        <v>1529.83</v>
      </c>
    </row>
    <row r="360" customFormat="false" ht="15" hidden="false" customHeight="false" outlineLevel="0" collapsed="false">
      <c r="A360" s="17" t="n">
        <v>1359</v>
      </c>
      <c r="B360" s="18" t="n">
        <v>45602</v>
      </c>
      <c r="C360" s="17" t="s">
        <v>31</v>
      </c>
      <c r="D360" s="17" t="s">
        <v>35</v>
      </c>
      <c r="E360" s="17" t="s">
        <v>41</v>
      </c>
      <c r="F360" s="17" t="s">
        <v>39</v>
      </c>
      <c r="G360" s="17" t="n">
        <v>11</v>
      </c>
      <c r="H360" s="19" t="n">
        <v>44.99</v>
      </c>
      <c r="I360" s="19" t="n">
        <f aca="false">G360*H360</f>
        <v>494.89</v>
      </c>
    </row>
    <row r="361" customFormat="false" ht="15" hidden="false" customHeight="false" outlineLevel="0" collapsed="false">
      <c r="A361" s="17" t="n">
        <v>1360</v>
      </c>
      <c r="B361" s="18" t="n">
        <v>45603</v>
      </c>
      <c r="C361" s="17" t="s">
        <v>34</v>
      </c>
      <c r="D361" s="17" t="s">
        <v>35</v>
      </c>
      <c r="E361" s="17" t="s">
        <v>41</v>
      </c>
      <c r="F361" s="17" t="s">
        <v>43</v>
      </c>
      <c r="G361" s="17" t="n">
        <v>6</v>
      </c>
      <c r="H361" s="19" t="n">
        <v>44.99</v>
      </c>
      <c r="I361" s="19" t="n">
        <f aca="false">G361*H361</f>
        <v>269.94</v>
      </c>
    </row>
    <row r="362" customFormat="false" ht="15" hidden="false" customHeight="false" outlineLevel="0" collapsed="false">
      <c r="A362" s="17" t="n">
        <v>1361</v>
      </c>
      <c r="B362" s="18" t="n">
        <v>45603</v>
      </c>
      <c r="C362" s="17" t="s">
        <v>24</v>
      </c>
      <c r="D362" s="17" t="s">
        <v>25</v>
      </c>
      <c r="E362" s="17" t="s">
        <v>44</v>
      </c>
      <c r="F362" s="17" t="s">
        <v>37</v>
      </c>
      <c r="G362" s="17" t="n">
        <v>7</v>
      </c>
      <c r="H362" s="19" t="n">
        <v>74.99</v>
      </c>
      <c r="I362" s="19" t="n">
        <f aca="false">G362*H362</f>
        <v>524.93</v>
      </c>
    </row>
    <row r="363" customFormat="false" ht="15" hidden="false" customHeight="false" outlineLevel="0" collapsed="false">
      <c r="A363" s="17" t="n">
        <v>1362</v>
      </c>
      <c r="B363" s="18" t="n">
        <v>45606</v>
      </c>
      <c r="C363" s="17" t="s">
        <v>20</v>
      </c>
      <c r="D363" s="17" t="s">
        <v>35</v>
      </c>
      <c r="E363" s="17" t="s">
        <v>45</v>
      </c>
      <c r="F363" s="17" t="s">
        <v>27</v>
      </c>
      <c r="G363" s="17" t="n">
        <v>1</v>
      </c>
      <c r="H363" s="19" t="n">
        <v>89.99</v>
      </c>
      <c r="I363" s="19" t="n">
        <f aca="false">G363*H363</f>
        <v>89.99</v>
      </c>
    </row>
    <row r="364" customFormat="false" ht="15" hidden="false" customHeight="false" outlineLevel="0" collapsed="false">
      <c r="A364" s="17" t="n">
        <v>1363</v>
      </c>
      <c r="B364" s="18" t="n">
        <v>45608</v>
      </c>
      <c r="C364" s="17" t="s">
        <v>34</v>
      </c>
      <c r="D364" s="17" t="s">
        <v>32</v>
      </c>
      <c r="E364" s="17" t="s">
        <v>46</v>
      </c>
      <c r="F364" s="17" t="s">
        <v>23</v>
      </c>
      <c r="G364" s="17" t="n">
        <v>4</v>
      </c>
      <c r="H364" s="19" t="n">
        <v>129.99</v>
      </c>
      <c r="I364" s="19" t="n">
        <f aca="false">G364*H364</f>
        <v>519.96</v>
      </c>
    </row>
    <row r="365" customFormat="false" ht="15" hidden="false" customHeight="false" outlineLevel="0" collapsed="false">
      <c r="A365" s="17" t="n">
        <v>1364</v>
      </c>
      <c r="B365" s="18" t="n">
        <v>45609</v>
      </c>
      <c r="C365" s="17" t="s">
        <v>31</v>
      </c>
      <c r="D365" s="17" t="s">
        <v>32</v>
      </c>
      <c r="E365" s="17" t="s">
        <v>42</v>
      </c>
      <c r="F365" s="17" t="s">
        <v>23</v>
      </c>
      <c r="G365" s="17" t="n">
        <v>12</v>
      </c>
      <c r="H365" s="19" t="n">
        <v>49.99</v>
      </c>
      <c r="I365" s="19" t="n">
        <f aca="false">G365*H365</f>
        <v>599.88</v>
      </c>
    </row>
    <row r="366" customFormat="false" ht="15" hidden="false" customHeight="false" outlineLevel="0" collapsed="false">
      <c r="A366" s="17" t="n">
        <v>1365</v>
      </c>
      <c r="B366" s="18" t="n">
        <v>45614</v>
      </c>
      <c r="C366" s="17" t="s">
        <v>24</v>
      </c>
      <c r="D366" s="17" t="s">
        <v>21</v>
      </c>
      <c r="E366" s="17" t="s">
        <v>22</v>
      </c>
      <c r="F366" s="17" t="s">
        <v>27</v>
      </c>
      <c r="G366" s="17" t="n">
        <v>5</v>
      </c>
      <c r="H366" s="19" t="n">
        <v>24.99</v>
      </c>
      <c r="I366" s="19" t="n">
        <f aca="false">G366*H366</f>
        <v>124.95</v>
      </c>
    </row>
    <row r="367" customFormat="false" ht="15" hidden="false" customHeight="false" outlineLevel="0" collapsed="false">
      <c r="A367" s="17" t="n">
        <v>1366</v>
      </c>
      <c r="B367" s="18" t="n">
        <v>45615</v>
      </c>
      <c r="C367" s="17" t="s">
        <v>20</v>
      </c>
      <c r="D367" s="17" t="s">
        <v>25</v>
      </c>
      <c r="E367" s="17" t="s">
        <v>38</v>
      </c>
      <c r="F367" s="17" t="s">
        <v>30</v>
      </c>
      <c r="G367" s="17" t="n">
        <v>3</v>
      </c>
      <c r="H367" s="19" t="n">
        <v>59.99</v>
      </c>
      <c r="I367" s="19" t="n">
        <f aca="false">G367*H367</f>
        <v>179.97</v>
      </c>
    </row>
    <row r="368" customFormat="false" ht="15" hidden="false" customHeight="false" outlineLevel="0" collapsed="false">
      <c r="A368" s="17" t="n">
        <v>1367</v>
      </c>
      <c r="B368" s="18" t="n">
        <v>45616</v>
      </c>
      <c r="C368" s="17" t="s">
        <v>31</v>
      </c>
      <c r="D368" s="17" t="s">
        <v>32</v>
      </c>
      <c r="E368" s="17" t="s">
        <v>42</v>
      </c>
      <c r="F368" s="17" t="s">
        <v>27</v>
      </c>
      <c r="G368" s="17" t="n">
        <v>10</v>
      </c>
      <c r="H368" s="19" t="n">
        <v>49.99</v>
      </c>
      <c r="I368" s="19" t="n">
        <f aca="false">G368*H368</f>
        <v>499.9</v>
      </c>
    </row>
    <row r="369" customFormat="false" ht="15" hidden="false" customHeight="false" outlineLevel="0" collapsed="false">
      <c r="A369" s="17" t="n">
        <v>1368</v>
      </c>
      <c r="B369" s="18" t="n">
        <v>45617</v>
      </c>
      <c r="C369" s="17" t="s">
        <v>20</v>
      </c>
      <c r="D369" s="17" t="s">
        <v>35</v>
      </c>
      <c r="E369" s="17" t="s">
        <v>36</v>
      </c>
      <c r="F369" s="17" t="s">
        <v>27</v>
      </c>
      <c r="G369" s="17" t="n">
        <v>7</v>
      </c>
      <c r="H369" s="19" t="n">
        <v>54.99</v>
      </c>
      <c r="I369" s="19" t="n">
        <f aca="false">G369*H369</f>
        <v>384.93</v>
      </c>
    </row>
    <row r="370" customFormat="false" ht="15" hidden="false" customHeight="false" outlineLevel="0" collapsed="false">
      <c r="A370" s="17" t="n">
        <v>1369</v>
      </c>
      <c r="B370" s="18" t="n">
        <v>45618</v>
      </c>
      <c r="C370" s="17" t="s">
        <v>31</v>
      </c>
      <c r="D370" s="17" t="s">
        <v>35</v>
      </c>
      <c r="E370" s="17" t="s">
        <v>36</v>
      </c>
      <c r="F370" s="17" t="s">
        <v>43</v>
      </c>
      <c r="G370" s="17" t="n">
        <v>12</v>
      </c>
      <c r="H370" s="19" t="n">
        <v>54.99</v>
      </c>
      <c r="I370" s="19" t="n">
        <f aca="false">G370*H370</f>
        <v>659.88</v>
      </c>
    </row>
    <row r="371" customFormat="false" ht="15" hidden="false" customHeight="false" outlineLevel="0" collapsed="false">
      <c r="A371" s="17" t="n">
        <v>1370</v>
      </c>
      <c r="B371" s="18" t="n">
        <v>45618</v>
      </c>
      <c r="C371" s="17" t="s">
        <v>34</v>
      </c>
      <c r="D371" s="17" t="s">
        <v>25</v>
      </c>
      <c r="E371" s="17" t="s">
        <v>38</v>
      </c>
      <c r="F371" s="17" t="s">
        <v>37</v>
      </c>
      <c r="G371" s="17" t="n">
        <v>11</v>
      </c>
      <c r="H371" s="19" t="n">
        <v>59.99</v>
      </c>
      <c r="I371" s="19" t="n">
        <f aca="false">G371*H371</f>
        <v>659.89</v>
      </c>
    </row>
    <row r="372" customFormat="false" ht="15" hidden="false" customHeight="false" outlineLevel="0" collapsed="false">
      <c r="A372" s="17" t="n">
        <v>1371</v>
      </c>
      <c r="B372" s="18" t="n">
        <v>45619</v>
      </c>
      <c r="C372" s="17" t="s">
        <v>34</v>
      </c>
      <c r="D372" s="17" t="s">
        <v>21</v>
      </c>
      <c r="E372" s="17" t="s">
        <v>22</v>
      </c>
      <c r="F372" s="17" t="s">
        <v>43</v>
      </c>
      <c r="G372" s="17" t="n">
        <v>8</v>
      </c>
      <c r="H372" s="19" t="n">
        <v>24.99</v>
      </c>
      <c r="I372" s="19" t="n">
        <f aca="false">G372*H372</f>
        <v>199.92</v>
      </c>
    </row>
    <row r="373" customFormat="false" ht="15" hidden="false" customHeight="false" outlineLevel="0" collapsed="false">
      <c r="A373" s="17" t="n">
        <v>1372</v>
      </c>
      <c r="B373" s="18" t="n">
        <v>45619</v>
      </c>
      <c r="C373" s="17" t="s">
        <v>31</v>
      </c>
      <c r="D373" s="17" t="s">
        <v>32</v>
      </c>
      <c r="E373" s="17" t="s">
        <v>33</v>
      </c>
      <c r="F373" s="17" t="s">
        <v>27</v>
      </c>
      <c r="G373" s="17" t="n">
        <v>6</v>
      </c>
      <c r="H373" s="19" t="n">
        <v>39.99</v>
      </c>
      <c r="I373" s="19" t="n">
        <f aca="false">G373*H373</f>
        <v>239.94</v>
      </c>
    </row>
    <row r="374" customFormat="false" ht="15" hidden="false" customHeight="false" outlineLevel="0" collapsed="false">
      <c r="A374" s="17" t="n">
        <v>1373</v>
      </c>
      <c r="B374" s="18" t="n">
        <v>45620</v>
      </c>
      <c r="C374" s="17" t="s">
        <v>31</v>
      </c>
      <c r="D374" s="17" t="s">
        <v>21</v>
      </c>
      <c r="E374" s="17" t="s">
        <v>40</v>
      </c>
      <c r="F374" s="17" t="s">
        <v>43</v>
      </c>
      <c r="G374" s="17" t="n">
        <v>7</v>
      </c>
      <c r="H374" s="19" t="n">
        <v>69.99</v>
      </c>
      <c r="I374" s="19" t="n">
        <f aca="false">G374*H374</f>
        <v>489.93</v>
      </c>
    </row>
    <row r="375" customFormat="false" ht="15" hidden="false" customHeight="false" outlineLevel="0" collapsed="false">
      <c r="A375" s="17" t="n">
        <v>1374</v>
      </c>
      <c r="B375" s="18" t="n">
        <v>45620</v>
      </c>
      <c r="C375" s="17" t="s">
        <v>34</v>
      </c>
      <c r="D375" s="17" t="s">
        <v>32</v>
      </c>
      <c r="E375" s="17" t="s">
        <v>33</v>
      </c>
      <c r="F375" s="17" t="s">
        <v>39</v>
      </c>
      <c r="G375" s="17" t="n">
        <v>15</v>
      </c>
      <c r="H375" s="19" t="n">
        <v>39.99</v>
      </c>
      <c r="I375" s="19" t="n">
        <f aca="false">G375*H375</f>
        <v>599.85</v>
      </c>
    </row>
    <row r="376" customFormat="false" ht="15" hidden="false" customHeight="false" outlineLevel="0" collapsed="false">
      <c r="A376" s="17" t="n">
        <v>1375</v>
      </c>
      <c r="B376" s="18" t="n">
        <v>45622</v>
      </c>
      <c r="C376" s="17" t="s">
        <v>20</v>
      </c>
      <c r="D376" s="17" t="s">
        <v>32</v>
      </c>
      <c r="E376" s="17" t="s">
        <v>42</v>
      </c>
      <c r="F376" s="17" t="s">
        <v>39</v>
      </c>
      <c r="G376" s="17" t="n">
        <v>5</v>
      </c>
      <c r="H376" s="19" t="n">
        <v>49.99</v>
      </c>
      <c r="I376" s="19" t="n">
        <f aca="false">G376*H376</f>
        <v>249.95</v>
      </c>
    </row>
    <row r="377" customFormat="false" ht="15" hidden="false" customHeight="false" outlineLevel="0" collapsed="false">
      <c r="A377" s="17" t="n">
        <v>1376</v>
      </c>
      <c r="B377" s="18" t="n">
        <v>45622</v>
      </c>
      <c r="C377" s="17" t="s">
        <v>20</v>
      </c>
      <c r="D377" s="17" t="s">
        <v>25</v>
      </c>
      <c r="E377" s="17" t="s">
        <v>26</v>
      </c>
      <c r="F377" s="17" t="s">
        <v>39</v>
      </c>
      <c r="G377" s="17" t="n">
        <v>10</v>
      </c>
      <c r="H377" s="19" t="n">
        <v>19.99</v>
      </c>
      <c r="I377" s="19" t="n">
        <f aca="false">G377*H377</f>
        <v>199.9</v>
      </c>
    </row>
    <row r="378" customFormat="false" ht="15" hidden="false" customHeight="false" outlineLevel="0" collapsed="false">
      <c r="A378" s="17" t="n">
        <v>1377</v>
      </c>
      <c r="B378" s="18" t="n">
        <v>45622</v>
      </c>
      <c r="C378" s="17" t="s">
        <v>34</v>
      </c>
      <c r="D378" s="17" t="s">
        <v>32</v>
      </c>
      <c r="E378" s="17" t="s">
        <v>33</v>
      </c>
      <c r="F378" s="17" t="s">
        <v>39</v>
      </c>
      <c r="G378" s="17" t="n">
        <v>14</v>
      </c>
      <c r="H378" s="19" t="n">
        <v>39.99</v>
      </c>
      <c r="I378" s="19" t="n">
        <f aca="false">G378*H378</f>
        <v>559.86</v>
      </c>
    </row>
    <row r="379" customFormat="false" ht="15" hidden="false" customHeight="false" outlineLevel="0" collapsed="false">
      <c r="A379" s="17" t="n">
        <v>1378</v>
      </c>
      <c r="B379" s="18" t="n">
        <v>45623</v>
      </c>
      <c r="C379" s="17" t="s">
        <v>24</v>
      </c>
      <c r="D379" s="17" t="s">
        <v>32</v>
      </c>
      <c r="E379" s="17" t="s">
        <v>33</v>
      </c>
      <c r="F379" s="17" t="s">
        <v>30</v>
      </c>
      <c r="G379" s="17" t="n">
        <v>13</v>
      </c>
      <c r="H379" s="19" t="n">
        <v>39.99</v>
      </c>
      <c r="I379" s="19" t="n">
        <f aca="false">G379*H379</f>
        <v>519.87</v>
      </c>
    </row>
    <row r="380" customFormat="false" ht="15" hidden="false" customHeight="false" outlineLevel="0" collapsed="false">
      <c r="A380" s="17" t="n">
        <v>1379</v>
      </c>
      <c r="B380" s="18" t="n">
        <v>45623</v>
      </c>
      <c r="C380" s="17" t="s">
        <v>20</v>
      </c>
      <c r="D380" s="17" t="s">
        <v>25</v>
      </c>
      <c r="E380" s="17" t="s">
        <v>44</v>
      </c>
      <c r="F380" s="17" t="s">
        <v>37</v>
      </c>
      <c r="G380" s="17" t="n">
        <v>7</v>
      </c>
      <c r="H380" s="19" t="n">
        <v>74.99</v>
      </c>
      <c r="I380" s="19" t="n">
        <f aca="false">G380*H380</f>
        <v>524.93</v>
      </c>
    </row>
    <row r="381" customFormat="false" ht="15" hidden="false" customHeight="false" outlineLevel="0" collapsed="false">
      <c r="A381" s="17" t="n">
        <v>1380</v>
      </c>
      <c r="B381" s="18" t="n">
        <v>45624</v>
      </c>
      <c r="C381" s="17" t="s">
        <v>34</v>
      </c>
      <c r="D381" s="17" t="s">
        <v>25</v>
      </c>
      <c r="E381" s="17" t="s">
        <v>26</v>
      </c>
      <c r="F381" s="17" t="s">
        <v>30</v>
      </c>
      <c r="G381" s="17" t="n">
        <v>8</v>
      </c>
      <c r="H381" s="19" t="n">
        <v>19.99</v>
      </c>
      <c r="I381" s="19" t="n">
        <f aca="false">G381*H381</f>
        <v>159.92</v>
      </c>
    </row>
    <row r="382" customFormat="false" ht="15" hidden="false" customHeight="false" outlineLevel="0" collapsed="false">
      <c r="A382" s="17" t="n">
        <v>1381</v>
      </c>
      <c r="B382" s="18" t="n">
        <v>45627</v>
      </c>
      <c r="C382" s="17" t="s">
        <v>31</v>
      </c>
      <c r="D382" s="17" t="s">
        <v>28</v>
      </c>
      <c r="E382" s="17" t="s">
        <v>29</v>
      </c>
      <c r="F382" s="17" t="s">
        <v>43</v>
      </c>
      <c r="G382" s="17" t="n">
        <v>8</v>
      </c>
      <c r="H382" s="19" t="n">
        <v>14.99</v>
      </c>
      <c r="I382" s="19" t="n">
        <f aca="false">G382*H382</f>
        <v>119.92</v>
      </c>
    </row>
    <row r="383" customFormat="false" ht="15" hidden="false" customHeight="false" outlineLevel="0" collapsed="false">
      <c r="A383" s="17" t="n">
        <v>1382</v>
      </c>
      <c r="B383" s="18" t="n">
        <v>45627</v>
      </c>
      <c r="C383" s="17" t="s">
        <v>20</v>
      </c>
      <c r="D383" s="17" t="s">
        <v>25</v>
      </c>
      <c r="E383" s="17" t="s">
        <v>26</v>
      </c>
      <c r="F383" s="17" t="s">
        <v>43</v>
      </c>
      <c r="G383" s="17" t="n">
        <v>9</v>
      </c>
      <c r="H383" s="19" t="n">
        <v>19.99</v>
      </c>
      <c r="I383" s="19" t="n">
        <f aca="false">G383*H383</f>
        <v>179.91</v>
      </c>
    </row>
    <row r="384" customFormat="false" ht="15" hidden="false" customHeight="false" outlineLevel="0" collapsed="false">
      <c r="A384" s="17" t="n">
        <v>1383</v>
      </c>
      <c r="B384" s="18" t="n">
        <v>45628</v>
      </c>
      <c r="C384" s="17" t="s">
        <v>24</v>
      </c>
      <c r="D384" s="17" t="s">
        <v>21</v>
      </c>
      <c r="E384" s="17" t="s">
        <v>22</v>
      </c>
      <c r="F384" s="17" t="s">
        <v>37</v>
      </c>
      <c r="G384" s="17" t="n">
        <v>6</v>
      </c>
      <c r="H384" s="19" t="n">
        <v>24.99</v>
      </c>
      <c r="I384" s="19" t="n">
        <f aca="false">G384*H384</f>
        <v>149.94</v>
      </c>
    </row>
    <row r="385" customFormat="false" ht="15" hidden="false" customHeight="false" outlineLevel="0" collapsed="false">
      <c r="A385" s="17" t="n">
        <v>1384</v>
      </c>
      <c r="B385" s="18" t="n">
        <v>45628</v>
      </c>
      <c r="C385" s="17" t="s">
        <v>31</v>
      </c>
      <c r="D385" s="17" t="s">
        <v>21</v>
      </c>
      <c r="E385" s="17" t="s">
        <v>40</v>
      </c>
      <c r="F385" s="17" t="s">
        <v>30</v>
      </c>
      <c r="G385" s="17" t="n">
        <v>18</v>
      </c>
      <c r="H385" s="19" t="n">
        <v>69.99</v>
      </c>
      <c r="I385" s="19" t="n">
        <f aca="false">G385*H385</f>
        <v>1259.82</v>
      </c>
    </row>
    <row r="386" customFormat="false" ht="15" hidden="false" customHeight="false" outlineLevel="0" collapsed="false">
      <c r="A386" s="17" t="n">
        <v>1385</v>
      </c>
      <c r="B386" s="18" t="n">
        <v>45630</v>
      </c>
      <c r="C386" s="17" t="s">
        <v>24</v>
      </c>
      <c r="D386" s="17" t="s">
        <v>32</v>
      </c>
      <c r="E386" s="17" t="s">
        <v>42</v>
      </c>
      <c r="F386" s="17" t="s">
        <v>43</v>
      </c>
      <c r="G386" s="17" t="n">
        <v>12</v>
      </c>
      <c r="H386" s="19" t="n">
        <v>49.99</v>
      </c>
      <c r="I386" s="19" t="n">
        <f aca="false">G386*H386</f>
        <v>599.88</v>
      </c>
    </row>
    <row r="387" customFormat="false" ht="15" hidden="false" customHeight="false" outlineLevel="0" collapsed="false">
      <c r="A387" s="17" t="n">
        <v>1386</v>
      </c>
      <c r="B387" s="18" t="n">
        <v>45630</v>
      </c>
      <c r="C387" s="17" t="s">
        <v>34</v>
      </c>
      <c r="D387" s="17" t="s">
        <v>35</v>
      </c>
      <c r="E387" s="17" t="s">
        <v>45</v>
      </c>
      <c r="F387" s="17" t="s">
        <v>30</v>
      </c>
      <c r="G387" s="17" t="n">
        <v>11</v>
      </c>
      <c r="H387" s="19" t="n">
        <v>89.99</v>
      </c>
      <c r="I387" s="19" t="n">
        <f aca="false">G387*H387</f>
        <v>989.89</v>
      </c>
    </row>
    <row r="388" customFormat="false" ht="15" hidden="false" customHeight="false" outlineLevel="0" collapsed="false">
      <c r="A388" s="17" t="n">
        <v>1387</v>
      </c>
      <c r="B388" s="18" t="n">
        <v>45631</v>
      </c>
      <c r="C388" s="17" t="s">
        <v>20</v>
      </c>
      <c r="D388" s="17" t="s">
        <v>32</v>
      </c>
      <c r="E388" s="17" t="s">
        <v>46</v>
      </c>
      <c r="F388" s="17" t="s">
        <v>37</v>
      </c>
      <c r="G388" s="17" t="n">
        <v>16</v>
      </c>
      <c r="H388" s="19" t="n">
        <v>129.99</v>
      </c>
      <c r="I388" s="19" t="n">
        <f aca="false">G388*H388</f>
        <v>2079.84</v>
      </c>
    </row>
    <row r="389" customFormat="false" ht="15" hidden="false" customHeight="false" outlineLevel="0" collapsed="false">
      <c r="A389" s="17" t="n">
        <v>1388</v>
      </c>
      <c r="B389" s="18" t="n">
        <v>45631</v>
      </c>
      <c r="C389" s="17" t="s">
        <v>20</v>
      </c>
      <c r="D389" s="17" t="s">
        <v>32</v>
      </c>
      <c r="E389" s="17" t="s">
        <v>33</v>
      </c>
      <c r="F389" s="17" t="s">
        <v>30</v>
      </c>
      <c r="G389" s="17" t="n">
        <v>10</v>
      </c>
      <c r="H389" s="19" t="n">
        <v>39.99</v>
      </c>
      <c r="I389" s="19" t="n">
        <f aca="false">G389*H389</f>
        <v>399.9</v>
      </c>
    </row>
    <row r="390" customFormat="false" ht="15" hidden="false" customHeight="false" outlineLevel="0" collapsed="false">
      <c r="A390" s="17" t="n">
        <v>1389</v>
      </c>
      <c r="B390" s="18" t="n">
        <v>45631</v>
      </c>
      <c r="C390" s="17" t="s">
        <v>20</v>
      </c>
      <c r="D390" s="17" t="s">
        <v>21</v>
      </c>
      <c r="E390" s="17" t="s">
        <v>40</v>
      </c>
      <c r="F390" s="17" t="s">
        <v>43</v>
      </c>
      <c r="G390" s="17" t="n">
        <v>9</v>
      </c>
      <c r="H390" s="19" t="n">
        <v>69.99</v>
      </c>
      <c r="I390" s="19" t="n">
        <f aca="false">G390*H390</f>
        <v>629.91</v>
      </c>
    </row>
    <row r="391" customFormat="false" ht="15" hidden="false" customHeight="false" outlineLevel="0" collapsed="false">
      <c r="A391" s="17" t="n">
        <v>1390</v>
      </c>
      <c r="B391" s="18" t="n">
        <v>45631</v>
      </c>
      <c r="C391" s="17" t="s">
        <v>24</v>
      </c>
      <c r="D391" s="17" t="s">
        <v>35</v>
      </c>
      <c r="E391" s="17" t="s">
        <v>45</v>
      </c>
      <c r="F391" s="17" t="s">
        <v>30</v>
      </c>
      <c r="G391" s="17" t="n">
        <v>12</v>
      </c>
      <c r="H391" s="19" t="n">
        <v>89.99</v>
      </c>
      <c r="I391" s="19" t="n">
        <f aca="false">G391*H391</f>
        <v>1079.88</v>
      </c>
    </row>
    <row r="392" customFormat="false" ht="15" hidden="false" customHeight="false" outlineLevel="0" collapsed="false">
      <c r="A392" s="17" t="n">
        <v>1391</v>
      </c>
      <c r="B392" s="18" t="n">
        <v>45633</v>
      </c>
      <c r="C392" s="17" t="s">
        <v>20</v>
      </c>
      <c r="D392" s="17" t="s">
        <v>35</v>
      </c>
      <c r="E392" s="17" t="s">
        <v>41</v>
      </c>
      <c r="F392" s="17" t="s">
        <v>39</v>
      </c>
      <c r="G392" s="17" t="n">
        <v>16</v>
      </c>
      <c r="H392" s="19" t="n">
        <v>44.99</v>
      </c>
      <c r="I392" s="19" t="n">
        <f aca="false">G392*H392</f>
        <v>719.84</v>
      </c>
    </row>
    <row r="393" customFormat="false" ht="15" hidden="false" customHeight="false" outlineLevel="0" collapsed="false">
      <c r="A393" s="17" t="n">
        <v>1392</v>
      </c>
      <c r="B393" s="18" t="n">
        <v>45634</v>
      </c>
      <c r="C393" s="17" t="s">
        <v>31</v>
      </c>
      <c r="D393" s="17" t="s">
        <v>25</v>
      </c>
      <c r="E393" s="17" t="s">
        <v>26</v>
      </c>
      <c r="F393" s="17" t="s">
        <v>39</v>
      </c>
      <c r="G393" s="17" t="n">
        <v>12</v>
      </c>
      <c r="H393" s="19" t="n">
        <v>19.99</v>
      </c>
      <c r="I393" s="19" t="n">
        <f aca="false">G393*H393</f>
        <v>239.88</v>
      </c>
    </row>
    <row r="394" customFormat="false" ht="15" hidden="false" customHeight="false" outlineLevel="0" collapsed="false">
      <c r="A394" s="17" t="n">
        <v>1393</v>
      </c>
      <c r="B394" s="18" t="n">
        <v>45634</v>
      </c>
      <c r="C394" s="17" t="s">
        <v>20</v>
      </c>
      <c r="D394" s="17" t="s">
        <v>35</v>
      </c>
      <c r="E394" s="17" t="s">
        <v>45</v>
      </c>
      <c r="F394" s="17" t="s">
        <v>43</v>
      </c>
      <c r="G394" s="17" t="n">
        <v>14</v>
      </c>
      <c r="H394" s="19" t="n">
        <v>89.99</v>
      </c>
      <c r="I394" s="19" t="n">
        <f aca="false">G394*H394</f>
        <v>1259.86</v>
      </c>
    </row>
    <row r="395" customFormat="false" ht="15" hidden="false" customHeight="false" outlineLevel="0" collapsed="false">
      <c r="A395" s="17" t="n">
        <v>1394</v>
      </c>
      <c r="B395" s="18" t="n">
        <v>45634</v>
      </c>
      <c r="C395" s="17" t="s">
        <v>20</v>
      </c>
      <c r="D395" s="17" t="s">
        <v>28</v>
      </c>
      <c r="E395" s="17" t="s">
        <v>29</v>
      </c>
      <c r="F395" s="17" t="s">
        <v>23</v>
      </c>
      <c r="G395" s="17" t="n">
        <v>8</v>
      </c>
      <c r="H395" s="19" t="n">
        <v>14.99</v>
      </c>
      <c r="I395" s="19" t="n">
        <f aca="false">G395*H395</f>
        <v>119.92</v>
      </c>
    </row>
    <row r="396" customFormat="false" ht="15" hidden="false" customHeight="false" outlineLevel="0" collapsed="false">
      <c r="A396" s="17" t="n">
        <v>1395</v>
      </c>
      <c r="B396" s="18" t="n">
        <v>45635</v>
      </c>
      <c r="C396" s="17" t="s">
        <v>34</v>
      </c>
      <c r="D396" s="17" t="s">
        <v>21</v>
      </c>
      <c r="E396" s="17" t="s">
        <v>40</v>
      </c>
      <c r="F396" s="17" t="s">
        <v>37</v>
      </c>
      <c r="G396" s="17" t="n">
        <v>15</v>
      </c>
      <c r="H396" s="19" t="n">
        <v>69.99</v>
      </c>
      <c r="I396" s="19" t="n">
        <f aca="false">G396*H396</f>
        <v>1049.85</v>
      </c>
    </row>
    <row r="397" customFormat="false" ht="15" hidden="false" customHeight="false" outlineLevel="0" collapsed="false">
      <c r="A397" s="17" t="n">
        <v>1396</v>
      </c>
      <c r="B397" s="18" t="n">
        <v>45636</v>
      </c>
      <c r="C397" s="17" t="s">
        <v>34</v>
      </c>
      <c r="D397" s="17" t="s">
        <v>25</v>
      </c>
      <c r="E397" s="17" t="s">
        <v>38</v>
      </c>
      <c r="F397" s="17" t="s">
        <v>27</v>
      </c>
      <c r="G397" s="17" t="n">
        <v>6</v>
      </c>
      <c r="H397" s="19" t="n">
        <v>59.99</v>
      </c>
      <c r="I397" s="19" t="n">
        <f aca="false">G397*H397</f>
        <v>359.94</v>
      </c>
    </row>
    <row r="398" customFormat="false" ht="15" hidden="false" customHeight="false" outlineLevel="0" collapsed="false">
      <c r="A398" s="17" t="n">
        <v>1397</v>
      </c>
      <c r="B398" s="18" t="n">
        <v>45637</v>
      </c>
      <c r="C398" s="17" t="s">
        <v>34</v>
      </c>
      <c r="D398" s="17" t="s">
        <v>25</v>
      </c>
      <c r="E398" s="17" t="s">
        <v>44</v>
      </c>
      <c r="F398" s="17" t="s">
        <v>43</v>
      </c>
      <c r="G398" s="17" t="n">
        <v>14</v>
      </c>
      <c r="H398" s="19" t="n">
        <v>74.99</v>
      </c>
      <c r="I398" s="19" t="n">
        <f aca="false">G398*H398</f>
        <v>1049.86</v>
      </c>
    </row>
    <row r="399" customFormat="false" ht="15" hidden="false" customHeight="false" outlineLevel="0" collapsed="false">
      <c r="A399" s="17" t="n">
        <v>1398</v>
      </c>
      <c r="B399" s="18" t="n">
        <v>45637</v>
      </c>
      <c r="C399" s="17" t="s">
        <v>34</v>
      </c>
      <c r="D399" s="17" t="s">
        <v>25</v>
      </c>
      <c r="E399" s="17" t="s">
        <v>44</v>
      </c>
      <c r="F399" s="17" t="s">
        <v>43</v>
      </c>
      <c r="G399" s="17" t="n">
        <v>11</v>
      </c>
      <c r="H399" s="19" t="n">
        <v>74.99</v>
      </c>
      <c r="I399" s="19" t="n">
        <f aca="false">G399*H399</f>
        <v>824.89</v>
      </c>
    </row>
    <row r="400" customFormat="false" ht="15" hidden="false" customHeight="false" outlineLevel="0" collapsed="false">
      <c r="A400" s="17" t="n">
        <v>1399</v>
      </c>
      <c r="B400" s="18" t="n">
        <v>45639</v>
      </c>
      <c r="C400" s="17" t="s">
        <v>34</v>
      </c>
      <c r="D400" s="17" t="s">
        <v>21</v>
      </c>
      <c r="E400" s="17" t="s">
        <v>22</v>
      </c>
      <c r="F400" s="17" t="s">
        <v>39</v>
      </c>
      <c r="G400" s="17" t="n">
        <v>11</v>
      </c>
      <c r="H400" s="19" t="n">
        <v>24.99</v>
      </c>
      <c r="I400" s="19" t="n">
        <f aca="false">G400*H400</f>
        <v>274.89</v>
      </c>
    </row>
    <row r="401" customFormat="false" ht="15" hidden="false" customHeight="false" outlineLevel="0" collapsed="false">
      <c r="A401" s="17" t="n">
        <v>1400</v>
      </c>
      <c r="B401" s="18" t="n">
        <v>45639</v>
      </c>
      <c r="C401" s="17" t="s">
        <v>24</v>
      </c>
      <c r="D401" s="17" t="s">
        <v>28</v>
      </c>
      <c r="E401" s="17" t="s">
        <v>29</v>
      </c>
      <c r="F401" s="17" t="s">
        <v>27</v>
      </c>
      <c r="G401" s="17" t="n">
        <v>7</v>
      </c>
      <c r="H401" s="19" t="n">
        <v>14.99</v>
      </c>
      <c r="I401" s="19" t="n">
        <f aca="false">G401*H401</f>
        <v>104.93</v>
      </c>
    </row>
    <row r="402" customFormat="false" ht="15" hidden="false" customHeight="false" outlineLevel="0" collapsed="false">
      <c r="A402" s="17" t="n">
        <v>1401</v>
      </c>
      <c r="B402" s="18" t="n">
        <v>45639</v>
      </c>
      <c r="C402" s="17" t="s">
        <v>31</v>
      </c>
      <c r="D402" s="17" t="s">
        <v>32</v>
      </c>
      <c r="E402" s="17" t="s">
        <v>46</v>
      </c>
      <c r="F402" s="17" t="s">
        <v>23</v>
      </c>
      <c r="G402" s="17" t="n">
        <v>15</v>
      </c>
      <c r="H402" s="19" t="n">
        <v>129.99</v>
      </c>
      <c r="I402" s="19" t="n">
        <f aca="false">G402*H402</f>
        <v>1949.85</v>
      </c>
    </row>
    <row r="403" customFormat="false" ht="15" hidden="false" customHeight="false" outlineLevel="0" collapsed="false">
      <c r="A403" s="17" t="n">
        <v>1402</v>
      </c>
      <c r="B403" s="18" t="n">
        <v>45643</v>
      </c>
      <c r="C403" s="17" t="s">
        <v>31</v>
      </c>
      <c r="D403" s="17" t="s">
        <v>35</v>
      </c>
      <c r="E403" s="17" t="s">
        <v>36</v>
      </c>
      <c r="F403" s="17" t="s">
        <v>43</v>
      </c>
      <c r="G403" s="17" t="n">
        <v>2</v>
      </c>
      <c r="H403" s="19" t="n">
        <v>54.99</v>
      </c>
      <c r="I403" s="19" t="n">
        <f aca="false">G403*H403</f>
        <v>109.98</v>
      </c>
    </row>
    <row r="404" customFormat="false" ht="15" hidden="false" customHeight="false" outlineLevel="0" collapsed="false">
      <c r="A404" s="17" t="n">
        <v>1403</v>
      </c>
      <c r="B404" s="18" t="n">
        <v>45643</v>
      </c>
      <c r="C404" s="17" t="s">
        <v>24</v>
      </c>
      <c r="D404" s="17" t="s">
        <v>32</v>
      </c>
      <c r="E404" s="17" t="s">
        <v>42</v>
      </c>
      <c r="F404" s="17" t="s">
        <v>23</v>
      </c>
      <c r="G404" s="17" t="n">
        <v>12</v>
      </c>
      <c r="H404" s="19" t="n">
        <v>49.99</v>
      </c>
      <c r="I404" s="19" t="n">
        <f aca="false">G404*H404</f>
        <v>599.88</v>
      </c>
    </row>
    <row r="405" customFormat="false" ht="15" hidden="false" customHeight="false" outlineLevel="0" collapsed="false">
      <c r="A405" s="17" t="n">
        <v>1404</v>
      </c>
      <c r="B405" s="18" t="n">
        <v>45644</v>
      </c>
      <c r="C405" s="17" t="s">
        <v>34</v>
      </c>
      <c r="D405" s="17" t="s">
        <v>25</v>
      </c>
      <c r="E405" s="17" t="s">
        <v>38</v>
      </c>
      <c r="F405" s="17" t="s">
        <v>37</v>
      </c>
      <c r="G405" s="17" t="n">
        <v>13</v>
      </c>
      <c r="H405" s="19" t="n">
        <v>59.99</v>
      </c>
      <c r="I405" s="19" t="n">
        <f aca="false">G405*H405</f>
        <v>779.87</v>
      </c>
    </row>
    <row r="406" customFormat="false" ht="15" hidden="false" customHeight="false" outlineLevel="0" collapsed="false">
      <c r="A406" s="17" t="n">
        <v>1405</v>
      </c>
      <c r="B406" s="18" t="n">
        <v>45644</v>
      </c>
      <c r="C406" s="17" t="s">
        <v>24</v>
      </c>
      <c r="D406" s="17" t="s">
        <v>35</v>
      </c>
      <c r="E406" s="17" t="s">
        <v>41</v>
      </c>
      <c r="F406" s="17" t="s">
        <v>27</v>
      </c>
      <c r="G406" s="17" t="n">
        <v>12</v>
      </c>
      <c r="H406" s="19" t="n">
        <v>44.99</v>
      </c>
      <c r="I406" s="19" t="n">
        <f aca="false">G406*H406</f>
        <v>539.88</v>
      </c>
    </row>
    <row r="407" customFormat="false" ht="15" hidden="false" customHeight="false" outlineLevel="0" collapsed="false">
      <c r="A407" s="17" t="n">
        <v>1406</v>
      </c>
      <c r="B407" s="18" t="n">
        <v>45645</v>
      </c>
      <c r="C407" s="17" t="s">
        <v>31</v>
      </c>
      <c r="D407" s="17" t="s">
        <v>32</v>
      </c>
      <c r="E407" s="17" t="s">
        <v>46</v>
      </c>
      <c r="F407" s="17" t="s">
        <v>37</v>
      </c>
      <c r="G407" s="17" t="n">
        <v>14</v>
      </c>
      <c r="H407" s="19" t="n">
        <v>129.99</v>
      </c>
      <c r="I407" s="19" t="n">
        <f aca="false">G407*H407</f>
        <v>1819.86</v>
      </c>
    </row>
    <row r="408" customFormat="false" ht="15" hidden="false" customHeight="false" outlineLevel="0" collapsed="false">
      <c r="A408" s="17" t="n">
        <v>1407</v>
      </c>
      <c r="B408" s="18" t="n">
        <v>45645</v>
      </c>
      <c r="C408" s="17" t="s">
        <v>34</v>
      </c>
      <c r="D408" s="17" t="s">
        <v>25</v>
      </c>
      <c r="E408" s="17" t="s">
        <v>38</v>
      </c>
      <c r="F408" s="17" t="s">
        <v>37</v>
      </c>
      <c r="G408" s="17" t="n">
        <v>7</v>
      </c>
      <c r="H408" s="19" t="n">
        <v>59.99</v>
      </c>
      <c r="I408" s="19" t="n">
        <f aca="false">G408*H408</f>
        <v>419.93</v>
      </c>
    </row>
    <row r="409" customFormat="false" ht="15" hidden="false" customHeight="false" outlineLevel="0" collapsed="false">
      <c r="A409" s="17" t="n">
        <v>1408</v>
      </c>
      <c r="B409" s="18" t="n">
        <v>45645</v>
      </c>
      <c r="C409" s="17" t="s">
        <v>24</v>
      </c>
      <c r="D409" s="17" t="s">
        <v>21</v>
      </c>
      <c r="E409" s="17" t="s">
        <v>40</v>
      </c>
      <c r="F409" s="17" t="s">
        <v>43</v>
      </c>
      <c r="G409" s="17" t="n">
        <v>18</v>
      </c>
      <c r="H409" s="19" t="n">
        <v>69.99</v>
      </c>
      <c r="I409" s="19" t="n">
        <f aca="false">G409*H409</f>
        <v>1259.82</v>
      </c>
    </row>
    <row r="410" customFormat="false" ht="15" hidden="false" customHeight="false" outlineLevel="0" collapsed="false">
      <c r="A410" s="17" t="n">
        <v>1409</v>
      </c>
      <c r="B410" s="18" t="n">
        <v>45646</v>
      </c>
      <c r="C410" s="17" t="s">
        <v>24</v>
      </c>
      <c r="D410" s="17" t="s">
        <v>21</v>
      </c>
      <c r="E410" s="17" t="s">
        <v>22</v>
      </c>
      <c r="F410" s="17" t="s">
        <v>27</v>
      </c>
      <c r="G410" s="17" t="n">
        <v>8</v>
      </c>
      <c r="H410" s="19" t="n">
        <v>24.99</v>
      </c>
      <c r="I410" s="19" t="n">
        <f aca="false">G410*H410</f>
        <v>199.92</v>
      </c>
    </row>
    <row r="411" customFormat="false" ht="15" hidden="false" customHeight="false" outlineLevel="0" collapsed="false">
      <c r="A411" s="17" t="n">
        <v>1410</v>
      </c>
      <c r="B411" s="18" t="n">
        <v>45647</v>
      </c>
      <c r="C411" s="17" t="s">
        <v>31</v>
      </c>
      <c r="D411" s="17" t="s">
        <v>25</v>
      </c>
      <c r="E411" s="17" t="s">
        <v>38</v>
      </c>
      <c r="F411" s="17" t="s">
        <v>23</v>
      </c>
      <c r="G411" s="17" t="n">
        <v>10</v>
      </c>
      <c r="H411" s="19" t="n">
        <v>59.99</v>
      </c>
      <c r="I411" s="19" t="n">
        <f aca="false">G411*H411</f>
        <v>599.9</v>
      </c>
    </row>
    <row r="412" customFormat="false" ht="15" hidden="false" customHeight="false" outlineLevel="0" collapsed="false">
      <c r="A412" s="17" t="n">
        <v>1411</v>
      </c>
      <c r="B412" s="18" t="n">
        <v>45647</v>
      </c>
      <c r="C412" s="17" t="s">
        <v>24</v>
      </c>
      <c r="D412" s="17" t="s">
        <v>32</v>
      </c>
      <c r="E412" s="17" t="s">
        <v>46</v>
      </c>
      <c r="F412" s="17" t="s">
        <v>43</v>
      </c>
      <c r="G412" s="17" t="n">
        <v>10</v>
      </c>
      <c r="H412" s="19" t="n">
        <v>129.99</v>
      </c>
      <c r="I412" s="19" t="n">
        <f aca="false">G412*H412</f>
        <v>1299.9</v>
      </c>
    </row>
    <row r="413" customFormat="false" ht="15" hidden="false" customHeight="false" outlineLevel="0" collapsed="false">
      <c r="A413" s="17" t="n">
        <v>1412</v>
      </c>
      <c r="B413" s="18" t="n">
        <v>45648</v>
      </c>
      <c r="C413" s="17" t="s">
        <v>24</v>
      </c>
      <c r="D413" s="17" t="s">
        <v>35</v>
      </c>
      <c r="E413" s="17" t="s">
        <v>36</v>
      </c>
      <c r="F413" s="17" t="s">
        <v>23</v>
      </c>
      <c r="G413" s="17" t="n">
        <v>7</v>
      </c>
      <c r="H413" s="19" t="n">
        <v>54.99</v>
      </c>
      <c r="I413" s="19" t="n">
        <f aca="false">G413*H413</f>
        <v>384.93</v>
      </c>
    </row>
    <row r="414" customFormat="false" ht="15" hidden="false" customHeight="false" outlineLevel="0" collapsed="false">
      <c r="A414" s="17" t="n">
        <v>1413</v>
      </c>
      <c r="B414" s="18" t="n">
        <v>45648</v>
      </c>
      <c r="C414" s="17" t="s">
        <v>34</v>
      </c>
      <c r="D414" s="17" t="s">
        <v>35</v>
      </c>
      <c r="E414" s="17" t="s">
        <v>41</v>
      </c>
      <c r="F414" s="17" t="s">
        <v>30</v>
      </c>
      <c r="G414" s="17" t="n">
        <v>17</v>
      </c>
      <c r="H414" s="19" t="n">
        <v>44.99</v>
      </c>
      <c r="I414" s="19" t="n">
        <f aca="false">G414*H414</f>
        <v>764.83</v>
      </c>
    </row>
    <row r="415" customFormat="false" ht="15" hidden="false" customHeight="false" outlineLevel="0" collapsed="false">
      <c r="A415" s="17" t="n">
        <v>1414</v>
      </c>
      <c r="B415" s="18" t="n">
        <v>45649</v>
      </c>
      <c r="C415" s="17" t="s">
        <v>34</v>
      </c>
      <c r="D415" s="17" t="s">
        <v>25</v>
      </c>
      <c r="E415" s="17" t="s">
        <v>44</v>
      </c>
      <c r="F415" s="17" t="s">
        <v>23</v>
      </c>
      <c r="G415" s="17" t="n">
        <v>7</v>
      </c>
      <c r="H415" s="19" t="n">
        <v>74.99</v>
      </c>
      <c r="I415" s="19" t="n">
        <f aca="false">G415*H415</f>
        <v>524.93</v>
      </c>
    </row>
    <row r="416" customFormat="false" ht="15" hidden="false" customHeight="false" outlineLevel="0" collapsed="false">
      <c r="A416" s="17" t="n">
        <v>1415</v>
      </c>
      <c r="B416" s="18" t="n">
        <v>45651</v>
      </c>
      <c r="C416" s="17" t="s">
        <v>34</v>
      </c>
      <c r="D416" s="17" t="s">
        <v>35</v>
      </c>
      <c r="E416" s="17" t="s">
        <v>41</v>
      </c>
      <c r="F416" s="17" t="s">
        <v>23</v>
      </c>
      <c r="G416" s="17" t="n">
        <v>12</v>
      </c>
      <c r="H416" s="19" t="n">
        <v>44.99</v>
      </c>
      <c r="I416" s="19" t="n">
        <f aca="false">G416*H416</f>
        <v>539.88</v>
      </c>
    </row>
    <row r="417" customFormat="false" ht="15" hidden="false" customHeight="false" outlineLevel="0" collapsed="false">
      <c r="A417" s="17" t="n">
        <v>1416</v>
      </c>
      <c r="B417" s="18" t="n">
        <v>45651</v>
      </c>
      <c r="C417" s="17" t="s">
        <v>34</v>
      </c>
      <c r="D417" s="17" t="s">
        <v>32</v>
      </c>
      <c r="E417" s="17" t="s">
        <v>33</v>
      </c>
      <c r="F417" s="17" t="s">
        <v>43</v>
      </c>
      <c r="G417" s="17" t="n">
        <v>9</v>
      </c>
      <c r="H417" s="19" t="n">
        <v>39.99</v>
      </c>
      <c r="I417" s="19" t="n">
        <f aca="false">G417*H417</f>
        <v>359.91</v>
      </c>
    </row>
    <row r="418" customFormat="false" ht="15" hidden="false" customHeight="false" outlineLevel="0" collapsed="false">
      <c r="A418" s="17" t="n">
        <v>1417</v>
      </c>
      <c r="B418" s="18" t="n">
        <v>45652</v>
      </c>
      <c r="C418" s="17" t="s">
        <v>24</v>
      </c>
      <c r="D418" s="17" t="s">
        <v>35</v>
      </c>
      <c r="E418" s="17" t="s">
        <v>36</v>
      </c>
      <c r="F418" s="17" t="s">
        <v>30</v>
      </c>
      <c r="G418" s="17" t="n">
        <v>10</v>
      </c>
      <c r="H418" s="19" t="n">
        <v>54.99</v>
      </c>
      <c r="I418" s="19" t="n">
        <f aca="false">G418*H418</f>
        <v>549.9</v>
      </c>
    </row>
    <row r="419" customFormat="false" ht="15" hidden="false" customHeight="false" outlineLevel="0" collapsed="false">
      <c r="A419" s="17" t="n">
        <v>1418</v>
      </c>
      <c r="B419" s="18" t="n">
        <v>45652</v>
      </c>
      <c r="C419" s="17" t="s">
        <v>31</v>
      </c>
      <c r="D419" s="17" t="s">
        <v>32</v>
      </c>
      <c r="E419" s="17" t="s">
        <v>33</v>
      </c>
      <c r="F419" s="17" t="s">
        <v>27</v>
      </c>
      <c r="G419" s="17" t="n">
        <v>10</v>
      </c>
      <c r="H419" s="19" t="n">
        <v>39.99</v>
      </c>
      <c r="I419" s="19" t="n">
        <f aca="false">G419*H419</f>
        <v>399.9</v>
      </c>
    </row>
    <row r="420" customFormat="false" ht="15" hidden="false" customHeight="false" outlineLevel="0" collapsed="false">
      <c r="A420" s="17" t="n">
        <v>1419</v>
      </c>
      <c r="B420" s="18" t="n">
        <v>45653</v>
      </c>
      <c r="C420" s="17" t="s">
        <v>34</v>
      </c>
      <c r="D420" s="17" t="s">
        <v>35</v>
      </c>
      <c r="E420" s="17" t="s">
        <v>36</v>
      </c>
      <c r="F420" s="17" t="s">
        <v>30</v>
      </c>
      <c r="G420" s="17" t="n">
        <v>1</v>
      </c>
      <c r="H420" s="19" t="n">
        <v>54.99</v>
      </c>
      <c r="I420" s="19" t="n">
        <f aca="false">G420*H420</f>
        <v>54.99</v>
      </c>
    </row>
    <row r="421" customFormat="false" ht="15" hidden="false" customHeight="false" outlineLevel="0" collapsed="false">
      <c r="A421" s="17" t="n">
        <v>1420</v>
      </c>
      <c r="B421" s="18" t="n">
        <v>45656</v>
      </c>
      <c r="C421" s="17" t="s">
        <v>24</v>
      </c>
      <c r="D421" s="17" t="s">
        <v>28</v>
      </c>
      <c r="E421" s="17" t="s">
        <v>29</v>
      </c>
      <c r="F421" s="17" t="s">
        <v>37</v>
      </c>
      <c r="G421" s="17" t="n">
        <v>10</v>
      </c>
      <c r="H421" s="19" t="n">
        <v>14.99</v>
      </c>
      <c r="I421" s="19" t="n">
        <f aca="false">G421*H421</f>
        <v>149.9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20" t="s">
        <v>47</v>
      </c>
    </row>
    <row r="2" customFormat="false" ht="15" hidden="false" customHeight="false" outlineLevel="0" collapsed="false">
      <c r="A2" s="21" t="s">
        <v>48</v>
      </c>
      <c r="B2" s="21" t="s">
        <v>19</v>
      </c>
    </row>
    <row r="3" customFormat="false" ht="15" hidden="false" customHeight="false" outlineLevel="0" collapsed="false">
      <c r="A3" s="17" t="s">
        <v>49</v>
      </c>
      <c r="B3" s="22" t="n">
        <f aca="false">SUMPRODUCT((TEXT('Raw Data'!$B$2:$B$421,"mmm")=A3)*'Raw Data'!$I$2:$I$421)</f>
        <v>7453.41</v>
      </c>
    </row>
    <row r="4" customFormat="false" ht="15" hidden="false" customHeight="false" outlineLevel="0" collapsed="false">
      <c r="A4" s="17" t="s">
        <v>50</v>
      </c>
      <c r="B4" s="22" t="n">
        <f aca="false">SUMPRODUCT((TEXT('Raw Data'!$B$2:$B$421,"mmm")=A4)*'Raw Data'!$I$2:$I$421)</f>
        <v>18247.16</v>
      </c>
    </row>
    <row r="5" customFormat="false" ht="15" hidden="false" customHeight="false" outlineLevel="0" collapsed="false">
      <c r="A5" s="17" t="s">
        <v>51</v>
      </c>
      <c r="B5" s="22" t="n">
        <f aca="false">SUMPRODUCT((TEXT('Raw Data'!$B$2:$B$421,"mmm")=A5)*'Raw Data'!$I$2:$I$421)</f>
        <v>12432.72</v>
      </c>
    </row>
    <row r="6" customFormat="false" ht="15" hidden="false" customHeight="false" outlineLevel="0" collapsed="false">
      <c r="A6" s="17" t="s">
        <v>52</v>
      </c>
      <c r="B6" s="22" t="n">
        <f aca="false">SUMPRODUCT((TEXT('Raw Data'!$B$2:$B$421,"mmm")=A6)*'Raw Data'!$I$2:$I$421)</f>
        <v>11158.23</v>
      </c>
    </row>
    <row r="7" customFormat="false" ht="15" hidden="false" customHeight="false" outlineLevel="0" collapsed="false">
      <c r="A7" s="17" t="s">
        <v>53</v>
      </c>
      <c r="B7" s="22" t="n">
        <f aca="false">SUMPRODUCT((TEXT('Raw Data'!$B$2:$B$421,"mmm")=A7)*'Raw Data'!$I$2:$I$421)</f>
        <v>15927.08</v>
      </c>
    </row>
    <row r="8" customFormat="false" ht="15" hidden="false" customHeight="false" outlineLevel="0" collapsed="false">
      <c r="A8" s="17" t="s">
        <v>54</v>
      </c>
      <c r="B8" s="22" t="n">
        <f aca="false">SUMPRODUCT((TEXT('Raw Data'!$B$2:$B$421,"mmm")=A8)*'Raw Data'!$I$2:$I$421)</f>
        <v>18037.35</v>
      </c>
    </row>
    <row r="9" customFormat="false" ht="15" hidden="false" customHeight="false" outlineLevel="0" collapsed="false">
      <c r="A9" s="17" t="s">
        <v>55</v>
      </c>
      <c r="B9" s="22" t="n">
        <f aca="false">SUMPRODUCT((TEXT('Raw Data'!$B$2:$B$421,"mmm")=A9)*'Raw Data'!$I$2:$I$421)</f>
        <v>9247.92</v>
      </c>
    </row>
    <row r="10" customFormat="false" ht="15" hidden="false" customHeight="false" outlineLevel="0" collapsed="false">
      <c r="A10" s="17" t="s">
        <v>56</v>
      </c>
      <c r="B10" s="22" t="n">
        <f aca="false">SUMPRODUCT((TEXT('Raw Data'!$B$2:$B$421,"mmm")=A10)*'Raw Data'!$I$2:$I$421)</f>
        <v>15052.62</v>
      </c>
    </row>
    <row r="11" customFormat="false" ht="15" hidden="false" customHeight="false" outlineLevel="0" collapsed="false">
      <c r="A11" s="17" t="s">
        <v>57</v>
      </c>
      <c r="B11" s="22" t="n">
        <f aca="false">SUMPRODUCT((TEXT('Raw Data'!$B$2:$B$421,"mmm")=A11)*'Raw Data'!$I$2:$I$421)</f>
        <v>9563.19</v>
      </c>
    </row>
    <row r="12" customFormat="false" ht="15" hidden="false" customHeight="false" outlineLevel="0" collapsed="false">
      <c r="A12" s="17" t="s">
        <v>58</v>
      </c>
      <c r="B12" s="22" t="n">
        <f aca="false">SUMPRODUCT((TEXT('Raw Data'!$B$2:$B$421,"mmm")=A12)*'Raw Data'!$I$2:$I$421)</f>
        <v>13342.78</v>
      </c>
    </row>
    <row r="13" customFormat="false" ht="15" hidden="false" customHeight="false" outlineLevel="0" collapsed="false">
      <c r="A13" s="17" t="s">
        <v>59</v>
      </c>
      <c r="B13" s="22" t="n">
        <f aca="false">SUMPRODUCT((TEXT('Raw Data'!$B$2:$B$421,"mmm")=A13)*'Raw Data'!$I$2:$I$421)</f>
        <v>17456.91</v>
      </c>
    </row>
    <row r="14" customFormat="false" ht="15" hidden="false" customHeight="false" outlineLevel="0" collapsed="false">
      <c r="A14" s="17" t="s">
        <v>60</v>
      </c>
      <c r="B14" s="22" t="n">
        <f aca="false">SUMPRODUCT((TEXT('Raw Data'!$B$2:$B$421,"mmm")=A14)*'Raw Data'!$I$2:$I$421)</f>
        <v>26800.71</v>
      </c>
    </row>
    <row r="16" customFormat="false" ht="15" hidden="false" customHeight="false" outlineLevel="0" collapsed="false">
      <c r="A16" s="20" t="s">
        <v>61</v>
      </c>
    </row>
    <row r="17" customFormat="false" ht="15" hidden="false" customHeight="false" outlineLevel="0" collapsed="false">
      <c r="A17" s="21" t="s">
        <v>15</v>
      </c>
      <c r="B17" s="21" t="s">
        <v>19</v>
      </c>
      <c r="C17" s="21" t="s">
        <v>17</v>
      </c>
    </row>
    <row r="18" customFormat="false" ht="15" hidden="false" customHeight="false" outlineLevel="0" collapsed="false">
      <c r="A18" s="17" t="s">
        <v>45</v>
      </c>
      <c r="B18" s="22" t="n">
        <f aca="false">SUMIFS('Raw Data'!$I$2:$I$421,'Raw Data'!$E$2:$E$421,A18)</f>
        <v>29336.74</v>
      </c>
      <c r="C18" s="23" t="n">
        <f aca="false">SUMIFS('Raw Data'!$G$2:$G$421,'Raw Data'!$E$2:$E$421,A18)</f>
        <v>326</v>
      </c>
    </row>
    <row r="19" customFormat="false" ht="15" hidden="false" customHeight="false" outlineLevel="0" collapsed="false">
      <c r="A19" s="17" t="s">
        <v>29</v>
      </c>
      <c r="B19" s="22" t="n">
        <f aca="false">SUMIFS('Raw Data'!$I$2:$I$421,'Raw Data'!$E$2:$E$421,A19)</f>
        <v>2968.02</v>
      </c>
      <c r="C19" s="23" t="n">
        <f aca="false">SUMIFS('Raw Data'!$G$2:$G$421,'Raw Data'!$E$2:$E$421,A19)</f>
        <v>198</v>
      </c>
    </row>
    <row r="20" customFormat="false" ht="15" hidden="false" customHeight="false" outlineLevel="0" collapsed="false">
      <c r="A20" s="17" t="s">
        <v>41</v>
      </c>
      <c r="B20" s="22" t="n">
        <f aca="false">SUMIFS('Raw Data'!$I$2:$I$421,'Raw Data'!$E$2:$E$421,A20)</f>
        <v>12867.14</v>
      </c>
      <c r="C20" s="23" t="n">
        <f aca="false">SUMIFS('Raw Data'!$G$2:$G$421,'Raw Data'!$E$2:$E$421,A20)</f>
        <v>286</v>
      </c>
    </row>
    <row r="21" customFormat="false" ht="15" hidden="false" customHeight="false" outlineLevel="0" collapsed="false">
      <c r="A21" s="17" t="s">
        <v>33</v>
      </c>
      <c r="B21" s="22" t="n">
        <f aca="false">SUMIFS('Raw Data'!$I$2:$I$421,'Raw Data'!$E$2:$E$421,A21)</f>
        <v>12076.98</v>
      </c>
      <c r="C21" s="23" t="n">
        <f aca="false">SUMIFS('Raw Data'!$G$2:$G$421,'Raw Data'!$E$2:$E$421,A21)</f>
        <v>302</v>
      </c>
    </row>
    <row r="22" customFormat="false" ht="15" hidden="false" customHeight="false" outlineLevel="0" collapsed="false">
      <c r="A22" s="17" t="s">
        <v>36</v>
      </c>
      <c r="B22" s="22" t="n">
        <f aca="false">SUMIFS('Raw Data'!$I$2:$I$421,'Raw Data'!$E$2:$E$421,A22)</f>
        <v>14077.44</v>
      </c>
      <c r="C22" s="23" t="n">
        <f aca="false">SUMIFS('Raw Data'!$G$2:$G$421,'Raw Data'!$E$2:$E$421,A22)</f>
        <v>256</v>
      </c>
    </row>
    <row r="23" customFormat="false" ht="15" hidden="false" customHeight="false" outlineLevel="0" collapsed="false">
      <c r="A23" s="17" t="s">
        <v>26</v>
      </c>
      <c r="B23" s="22" t="n">
        <f aca="false">SUMIFS('Raw Data'!$I$2:$I$421,'Raw Data'!$E$2:$E$421,A23)</f>
        <v>3378.31</v>
      </c>
      <c r="C23" s="23" t="n">
        <f aca="false">SUMIFS('Raw Data'!$G$2:$G$421,'Raw Data'!$E$2:$E$421,A23)</f>
        <v>169</v>
      </c>
    </row>
    <row r="24" customFormat="false" ht="15" hidden="false" customHeight="false" outlineLevel="0" collapsed="false">
      <c r="A24" s="17" t="s">
        <v>38</v>
      </c>
      <c r="B24" s="22" t="n">
        <f aca="false">SUMIFS('Raw Data'!$I$2:$I$421,'Raw Data'!$E$2:$E$421,A24)</f>
        <v>13497.75</v>
      </c>
      <c r="C24" s="23" t="n">
        <f aca="false">SUMIFS('Raw Data'!$G$2:$G$421,'Raw Data'!$E$2:$E$421,A24)</f>
        <v>225</v>
      </c>
    </row>
    <row r="25" customFormat="false" ht="15" hidden="false" customHeight="false" outlineLevel="0" collapsed="false">
      <c r="A25" s="17" t="s">
        <v>40</v>
      </c>
      <c r="B25" s="22" t="n">
        <f aca="false">SUMIFS('Raw Data'!$I$2:$I$421,'Raw Data'!$E$2:$E$421,A25)</f>
        <v>23446.65</v>
      </c>
      <c r="C25" s="23" t="n">
        <f aca="false">SUMIFS('Raw Data'!$G$2:$G$421,'Raw Data'!$E$2:$E$421,A25)</f>
        <v>335</v>
      </c>
    </row>
    <row r="26" customFormat="false" ht="15" hidden="false" customHeight="false" outlineLevel="0" collapsed="false">
      <c r="A26" s="17" t="s">
        <v>44</v>
      </c>
      <c r="B26" s="22" t="n">
        <f aca="false">SUMIFS('Raw Data'!$I$2:$I$421,'Raw Data'!$E$2:$E$421,A26)</f>
        <v>15522.93</v>
      </c>
      <c r="C26" s="23" t="n">
        <f aca="false">SUMIFS('Raw Data'!$G$2:$G$421,'Raw Data'!$E$2:$E$421,A26)</f>
        <v>207</v>
      </c>
    </row>
    <row r="27" customFormat="false" ht="15" hidden="false" customHeight="false" outlineLevel="0" collapsed="false">
      <c r="A27" s="17" t="s">
        <v>46</v>
      </c>
      <c r="B27" s="22" t="n">
        <f aca="false">SUMIFS('Raw Data'!$I$2:$I$421,'Raw Data'!$E$2:$E$421,A27)</f>
        <v>30677.64</v>
      </c>
      <c r="C27" s="23" t="n">
        <f aca="false">SUMIFS('Raw Data'!$G$2:$G$421,'Raw Data'!$E$2:$E$421,A27)</f>
        <v>236</v>
      </c>
    </row>
    <row r="28" customFormat="false" ht="15" hidden="false" customHeight="false" outlineLevel="0" collapsed="false">
      <c r="A28" s="17" t="s">
        <v>42</v>
      </c>
      <c r="B28" s="22" t="n">
        <f aca="false">SUMIFS('Raw Data'!$I$2:$I$421,'Raw Data'!$E$2:$E$421,A28)</f>
        <v>11147.77</v>
      </c>
      <c r="C28" s="23" t="n">
        <f aca="false">SUMIFS('Raw Data'!$G$2:$G$421,'Raw Data'!$E$2:$E$421,A28)</f>
        <v>223</v>
      </c>
    </row>
    <row r="29" customFormat="false" ht="15" hidden="false" customHeight="false" outlineLevel="0" collapsed="false">
      <c r="A29" s="17" t="s">
        <v>22</v>
      </c>
      <c r="B29" s="22" t="n">
        <f aca="false">SUMIFS('Raw Data'!$I$2:$I$421,'Raw Data'!$E$2:$E$421,A29)</f>
        <v>5722.71</v>
      </c>
      <c r="C29" s="23" t="n">
        <f aca="false">SUMIFS('Raw Data'!$G$2:$G$421,'Raw Data'!$E$2:$E$421,A29)</f>
        <v>229</v>
      </c>
    </row>
    <row r="31" customFormat="false" ht="15" hidden="false" customHeight="false" outlineLevel="0" collapsed="false">
      <c r="A31" s="20" t="s">
        <v>62</v>
      </c>
    </row>
    <row r="32" customFormat="false" ht="15" hidden="false" customHeight="false" outlineLevel="0" collapsed="false">
      <c r="A32" s="21" t="s">
        <v>13</v>
      </c>
      <c r="B32" s="21" t="s">
        <v>19</v>
      </c>
    </row>
    <row r="33" customFormat="false" ht="15" hidden="false" customHeight="false" outlineLevel="0" collapsed="false">
      <c r="A33" s="17" t="s">
        <v>20</v>
      </c>
      <c r="B33" s="22" t="n">
        <f aca="false">SUMIFS('Raw Data'!$I$2:$I$421,'Raw Data'!$C$2:$C$421,A33)</f>
        <v>41132.85</v>
      </c>
    </row>
    <row r="34" customFormat="false" ht="15" hidden="false" customHeight="false" outlineLevel="0" collapsed="false">
      <c r="A34" s="17" t="s">
        <v>31</v>
      </c>
      <c r="B34" s="22" t="n">
        <f aca="false">SUMIFS('Raw Data'!$I$2:$I$421,'Raw Data'!$C$2:$C$421,A34)</f>
        <v>43788.08</v>
      </c>
    </row>
    <row r="35" customFormat="false" ht="15" hidden="false" customHeight="false" outlineLevel="0" collapsed="false">
      <c r="A35" s="17" t="s">
        <v>24</v>
      </c>
      <c r="B35" s="22" t="n">
        <f aca="false">SUMIFS('Raw Data'!$I$2:$I$421,'Raw Data'!$C$2:$C$421,A35)</f>
        <v>43297.53</v>
      </c>
    </row>
    <row r="36" customFormat="false" ht="15" hidden="false" customHeight="false" outlineLevel="0" collapsed="false">
      <c r="A36" s="17" t="s">
        <v>34</v>
      </c>
      <c r="B36" s="22" t="n">
        <f aca="false">SUMIFS('Raw Data'!$I$2:$I$421,'Raw Data'!$C$2:$C$421,A36)</f>
        <v>46501.62</v>
      </c>
    </row>
    <row r="38" customFormat="false" ht="15" hidden="false" customHeight="false" outlineLevel="0" collapsed="false">
      <c r="A38" s="20" t="s">
        <v>63</v>
      </c>
    </row>
    <row r="39" customFormat="false" ht="15" hidden="false" customHeight="false" outlineLevel="0" collapsed="false">
      <c r="A39" s="21" t="s">
        <v>14</v>
      </c>
      <c r="B39" s="21" t="s">
        <v>19</v>
      </c>
    </row>
    <row r="40" customFormat="false" ht="15" hidden="false" customHeight="false" outlineLevel="0" collapsed="false">
      <c r="A40" s="17" t="s">
        <v>25</v>
      </c>
      <c r="B40" s="22" t="n">
        <f aca="false">SUMIFS('Raw Data'!$I$2:$I$421,'Raw Data'!$D$2:$D$421,A40)</f>
        <v>32398.99</v>
      </c>
    </row>
    <row r="41" customFormat="false" ht="15" hidden="false" customHeight="false" outlineLevel="0" collapsed="false">
      <c r="A41" s="17" t="s">
        <v>28</v>
      </c>
      <c r="B41" s="22" t="n">
        <f aca="false">SUMIFS('Raw Data'!$I$2:$I$421,'Raw Data'!$D$2:$D$421,A41)</f>
        <v>2968.02</v>
      </c>
    </row>
    <row r="42" customFormat="false" ht="15" hidden="false" customHeight="false" outlineLevel="0" collapsed="false">
      <c r="A42" s="17" t="s">
        <v>32</v>
      </c>
      <c r="B42" s="22" t="n">
        <f aca="false">SUMIFS('Raw Data'!$I$2:$I$421,'Raw Data'!$D$2:$D$421,A42)</f>
        <v>53902.39</v>
      </c>
    </row>
    <row r="43" customFormat="false" ht="15" hidden="false" customHeight="false" outlineLevel="0" collapsed="false">
      <c r="A43" s="17" t="s">
        <v>35</v>
      </c>
      <c r="B43" s="22" t="n">
        <f aca="false">SUMIFS('Raw Data'!$I$2:$I$421,'Raw Data'!$D$2:$D$421,A43)</f>
        <v>56281.32</v>
      </c>
    </row>
    <row r="44" customFormat="false" ht="15" hidden="false" customHeight="false" outlineLevel="0" collapsed="false">
      <c r="A44" s="17" t="s">
        <v>21</v>
      </c>
      <c r="B44" s="22" t="n">
        <f aca="false">SUMIFS('Raw Data'!$I$2:$I$421,'Raw Data'!$D$2:$D$421,A44)</f>
        <v>29169.36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2026-08-13T13:52:59Z</dcterms:created>
  <dc:creator>openpyxl</dc:creator>
  <dc:description/>
  <dc:language>en-US</dc:language>
  <cp:lastModifiedBy/>
  <dcterms:modified xsi:type="dcterms:W3CDTF">2026-08-13T13:54:08Z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